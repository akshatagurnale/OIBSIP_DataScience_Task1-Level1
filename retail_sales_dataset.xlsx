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Oasis\"/>
    </mc:Choice>
  </mc:AlternateContent>
  <xr:revisionPtr revIDLastSave="0" documentId="8_{F3D3EE63-30C7-4B48-920E-3F4C5692618D}" xr6:coauthVersionLast="36" xr6:coauthVersionMax="36" xr10:uidLastSave="{00000000-0000-0000-0000-000000000000}"/>
  <bookViews>
    <workbookView xWindow="0" yWindow="0" windowWidth="20085" windowHeight="7560" activeTab="1" xr2:uid="{00000000-000D-0000-FFFF-FFFF00000000}"/>
  </bookViews>
  <sheets>
    <sheet name="retail_sales_dataset" sheetId="1" r:id="rId1"/>
    <sheet name="retail_sales_dataset(AutoRecove" sheetId="5" r:id="rId2"/>
    <sheet name="Descriptive Statistics" sheetId="2" r:id="rId3"/>
  </sheets>
  <calcPr calcId="191029"/>
  <pivotCaches>
    <pivotCache cacheId="0" r:id="rId4"/>
  </pivotCaches>
  <fileRecoveryPr repairLoad="1"/>
</workbook>
</file>

<file path=xl/calcChain.xml><?xml version="1.0" encoding="utf-8"?>
<calcChain xmlns="http://schemas.openxmlformats.org/spreadsheetml/2006/main">
  <c r="E4" i="5" l="1"/>
  <c r="E3" i="5"/>
  <c r="E2" i="5"/>
  <c r="B4" i="2" l="1"/>
  <c r="B5" i="2"/>
  <c r="B3" i="2"/>
  <c r="B2" i="2"/>
</calcChain>
</file>

<file path=xl/sharedStrings.xml><?xml version="1.0" encoding="utf-8"?>
<sst xmlns="http://schemas.openxmlformats.org/spreadsheetml/2006/main" count="4038" uniqueCount="1386">
  <si>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</si>
  <si>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</si>
  <si>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</si>
  <si>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</si>
  <si>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</si>
  <si>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</si>
  <si>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</si>
  <si>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</si>
  <si>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</si>
  <si>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</si>
  <si>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</si>
  <si>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</si>
  <si>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</si>
  <si>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</si>
  <si>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</si>
  <si>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</si>
  <si>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</si>
  <si>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</si>
  <si>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</si>
  <si>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</si>
  <si>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</si>
  <si>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</si>
  <si>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</si>
  <si>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</si>
  <si>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</si>
  <si>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</si>
  <si>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</si>
  <si>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</si>
  <si>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</si>
  <si>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</si>
  <si>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</si>
  <si>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</si>
  <si>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</si>
  <si>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</si>
  <si>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</si>
  <si>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</si>
  <si>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</si>
  <si>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</si>
  <si>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</si>
  <si>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</si>
  <si>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</si>
  <si>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</si>
  <si>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</si>
  <si>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</si>
  <si>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</si>
  <si>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</si>
  <si>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</si>
  <si>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</si>
  <si>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</si>
  <si>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</si>
  <si>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</si>
  <si>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</si>
  <si>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</si>
  <si>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</si>
  <si>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</si>
  <si>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</si>
  <si>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</si>
  <si>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</si>
  <si>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</si>
  <si>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</si>
  <si>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</si>
  <si>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</si>
  <si>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</si>
  <si>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</si>
  <si>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</si>
  <si>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</si>
  <si>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</si>
  <si>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</si>
  <si>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</si>
  <si>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</si>
  <si>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</si>
  <si>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</si>
  <si>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</si>
  <si>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</si>
  <si>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</si>
  <si>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</si>
  <si>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</si>
  <si>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</si>
  <si>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</si>
  <si>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</si>
  <si>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</si>
  <si>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</si>
  <si>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</si>
  <si>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</si>
  <si>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</si>
  <si>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</si>
  <si>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</si>
  <si>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</si>
  <si>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</si>
  <si>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</si>
  <si>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</si>
  <si>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</si>
  <si>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</si>
  <si>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</si>
  <si>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</si>
  <si>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</si>
  <si>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</si>
  <si>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</si>
  <si>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</si>
  <si>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</si>
  <si>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</si>
  <si>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</si>
  <si>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</si>
  <si>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</si>
  <si>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</si>
  <si>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</si>
  <si>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</si>
  <si>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</si>
  <si>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</si>
  <si>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</si>
  <si>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</si>
  <si>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</si>
  <si>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</si>
  <si>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</si>
  <si>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</si>
  <si>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</si>
  <si>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</si>
  <si>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</si>
  <si>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</si>
  <si>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</si>
  <si>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</si>
  <si>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</si>
  <si>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</si>
  <si>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</si>
  <si>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</si>
  <si>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</si>
  <si>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</si>
  <si>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</si>
  <si>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</si>
  <si>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</si>
  <si>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</si>
  <si>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</si>
  <si>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</si>
  <si>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</si>
  <si>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</si>
  <si>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</si>
  <si>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</si>
  <si>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</si>
  <si>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</si>
  <si>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</si>
  <si>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</si>
  <si>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</si>
  <si>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</si>
  <si>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</si>
  <si>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</si>
  <si>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</si>
  <si>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</si>
  <si>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</si>
  <si>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</si>
  <si>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</si>
  <si>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</si>
  <si>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</si>
  <si>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</si>
  <si>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</si>
  <si>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</si>
  <si>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</si>
  <si>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</si>
  <si>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</si>
  <si>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</si>
  <si>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</si>
  <si>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</si>
  <si>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</si>
  <si>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</si>
  <si>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</si>
  <si>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</si>
  <si>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</si>
  <si>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</si>
  <si>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</si>
  <si>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</si>
  <si>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</si>
  <si>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</si>
  <si>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</si>
  <si>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</si>
  <si>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</si>
  <si>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</si>
  <si>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</si>
  <si>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</si>
  <si>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</si>
  <si>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</si>
  <si>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</si>
  <si>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</si>
  <si>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</si>
  <si>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</si>
  <si>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</si>
  <si>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</si>
  <si>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</si>
  <si>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</si>
  <si>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</si>
  <si>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</si>
  <si>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</si>
  <si>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</si>
  <si>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</si>
  <si>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</si>
  <si>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</si>
  <si>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</si>
  <si>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</si>
  <si>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</si>
  <si>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</si>
  <si>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</si>
  <si>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</si>
  <si>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</si>
  <si>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</si>
  <si>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</si>
  <si>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</si>
  <si>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</si>
  <si>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</si>
  <si>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</si>
  <si>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</si>
  <si>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</si>
  <si>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</si>
  <si>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</si>
  <si>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</si>
  <si>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</si>
  <si>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</si>
  <si>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</si>
  <si>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</si>
  <si>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</si>
  <si>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</si>
  <si>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</si>
  <si>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</si>
  <si>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</si>
  <si>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</si>
  <si>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</si>
  <si>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</si>
  <si>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</si>
  <si>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</si>
  <si>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</si>
  <si>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</si>
  <si>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</si>
  <si>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</si>
  <si>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</si>
  <si>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</si>
  <si>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</si>
  <si>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</si>
  <si>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</si>
  <si>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</si>
  <si>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</si>
  <si>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</si>
  <si>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</si>
  <si>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</si>
  <si>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</si>
  <si>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</si>
  <si>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</si>
  <si>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</si>
  <si>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</si>
  <si>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</si>
  <si>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</si>
  <si>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</si>
  <si>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</si>
  <si>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</si>
  <si>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</si>
  <si>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</si>
  <si>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</si>
  <si>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</si>
  <si>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</si>
  <si>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</si>
  <si>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</si>
  <si>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</si>
  <si>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</si>
  <si>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</si>
  <si>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</si>
  <si>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</si>
  <si>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</si>
  <si>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</si>
  <si>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</si>
  <si>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</si>
  <si>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</si>
  <si>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</si>
  <si>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</si>
  <si>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</si>
  <si>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</si>
  <si>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</si>
  <si>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</si>
  <si>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</si>
  <si>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</si>
  <si>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</si>
  <si>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</si>
  <si>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</si>
  <si>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</si>
  <si>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</si>
  <si>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</si>
  <si>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</si>
  <si>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</si>
  <si>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</si>
  <si>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</si>
  <si>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</si>
  <si>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</si>
  <si>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</si>
  <si>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</si>
  <si>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</si>
  <si>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</si>
  <si>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</si>
  <si>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</si>
  <si>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</si>
  <si>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</si>
  <si>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</si>
  <si>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</si>
  <si>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</si>
  <si>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</si>
  <si>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</si>
  <si>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</si>
  <si>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</si>
  <si>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</si>
  <si>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</si>
  <si>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</si>
  <si>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</si>
  <si>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</si>
  <si>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</si>
  <si>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</si>
  <si>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</si>
  <si>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</si>
  <si>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</si>
  <si>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</si>
  <si>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</si>
  <si>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</si>
  <si>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</si>
  <si>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</si>
  <si>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</si>
  <si>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</si>
  <si>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</si>
  <si>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</si>
  <si>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</si>
  <si>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</si>
  <si>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</si>
  <si>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</si>
  <si>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</si>
  <si>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</si>
  <si>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</si>
  <si>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</si>
  <si>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</si>
  <si>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</si>
  <si>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</si>
  <si>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</si>
  <si>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</si>
  <si>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</si>
  <si>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</si>
  <si>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</si>
  <si>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</si>
  <si>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</si>
  <si>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</si>
  <si>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</si>
  <si>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</si>
  <si>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</si>
  <si>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</si>
  <si>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</si>
  <si>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</si>
  <si>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</si>
  <si>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</si>
  <si>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</si>
  <si>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</si>
  <si>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</si>
  <si>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</si>
  <si>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</si>
  <si>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</si>
  <si>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</si>
  <si>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</si>
  <si>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</si>
  <si>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</si>
  <si>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</si>
  <si>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</si>
  <si>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</si>
  <si>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</si>
  <si>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</si>
  <si>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</si>
  <si>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</si>
  <si>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</si>
  <si>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</si>
  <si>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</si>
  <si>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</si>
  <si>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</si>
  <si>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</si>
  <si>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</si>
  <si>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</si>
  <si>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</si>
  <si>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</si>
  <si>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</si>
  <si>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</si>
  <si>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</si>
  <si>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</si>
  <si>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</si>
  <si>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</si>
  <si>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</si>
  <si>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</si>
  <si>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</si>
  <si>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</si>
  <si>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</si>
  <si>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</si>
  <si>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</si>
  <si>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</si>
  <si>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</si>
  <si>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</si>
  <si>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</si>
  <si>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</si>
  <si>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</si>
  <si>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</si>
  <si>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</si>
  <si>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</si>
  <si>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</si>
  <si>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</si>
  <si>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</si>
  <si>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</si>
  <si>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</si>
  <si>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</si>
  <si>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</si>
  <si>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</si>
  <si>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</si>
  <si>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</si>
  <si>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</si>
  <si>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</si>
  <si>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</si>
  <si>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</si>
  <si>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</si>
  <si>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</si>
  <si>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</si>
  <si>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</si>
  <si>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</si>
  <si>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</si>
  <si>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</si>
  <si>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</si>
  <si>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</si>
  <si>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</si>
  <si>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</si>
  <si>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</si>
  <si>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</si>
  <si>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</si>
  <si>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</si>
  <si>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</si>
  <si>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</si>
  <si>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</si>
  <si>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</si>
  <si>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</si>
  <si>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</si>
  <si>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</si>
  <si>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</si>
  <si>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</si>
  <si>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</si>
  <si>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</si>
  <si>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</si>
  <si>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</si>
  <si>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</si>
  <si>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</si>
  <si>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</si>
  <si>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</si>
  <si>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</si>
  <si>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</si>
  <si>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</si>
  <si>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</si>
  <si>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</si>
  <si>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</si>
  <si>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</si>
  <si>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</si>
  <si>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</si>
  <si>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</si>
  <si>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</si>
  <si>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</si>
  <si>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</si>
  <si>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</si>
  <si>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</si>
  <si>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</si>
  <si>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</si>
  <si>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</si>
  <si>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</si>
  <si>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</si>
  <si>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</si>
  <si>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</si>
  <si>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</si>
  <si>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</si>
  <si>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</si>
  <si>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</si>
  <si>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</si>
  <si>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</si>
  <si>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</si>
  <si>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</si>
  <si>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</si>
  <si>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</si>
  <si>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</si>
  <si>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</si>
  <si>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</si>
  <si>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</si>
  <si>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</si>
  <si>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</si>
  <si>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</si>
  <si>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</si>
  <si>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</si>
  <si>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</si>
  <si>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</si>
  <si>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</si>
  <si>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</si>
  <si>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</si>
  <si>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</si>
  <si>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</si>
  <si>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</si>
  <si>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</si>
  <si>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</si>
  <si>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</si>
  <si>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</si>
  <si>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</si>
  <si>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</si>
  <si>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</si>
  <si>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</si>
  <si>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</si>
  <si>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</si>
  <si>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</si>
  <si>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</si>
  <si>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</si>
  <si>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</si>
  <si>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</si>
  <si>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</si>
  <si>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</si>
  <si>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</si>
  <si>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</si>
  <si>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</si>
  <si>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</si>
  <si>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</si>
  <si>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</si>
  <si>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</si>
  <si>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</si>
  <si>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</si>
  <si>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</si>
  <si>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</si>
  <si>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</si>
  <si>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</si>
  <si>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</si>
  <si>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</si>
  <si>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</si>
  <si>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</si>
  <si>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</si>
  <si>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</si>
  <si>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</si>
  <si>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</si>
  <si>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</si>
  <si>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</si>
  <si>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</si>
  <si>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</si>
  <si>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</si>
  <si>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</si>
  <si>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</si>
  <si>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</si>
  <si>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</si>
  <si>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</si>
  <si>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</si>
  <si>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</si>
  <si>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</si>
  <si>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</si>
  <si>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</si>
  <si>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</si>
  <si>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</si>
  <si>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</si>
  <si>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</si>
  <si>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</si>
  <si>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</si>
  <si>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</si>
  <si>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</si>
  <si>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</si>
  <si>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</si>
  <si>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</si>
  <si>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</si>
  <si>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</si>
  <si>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</si>
  <si>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</si>
  <si>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</si>
  <si>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</si>
  <si>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</si>
  <si>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</si>
  <si>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</si>
  <si>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</si>
  <si>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</si>
  <si>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</si>
  <si>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</si>
  <si>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</si>
  <si>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</si>
  <si>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</si>
  <si>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</si>
  <si>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</si>
  <si>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</si>
  <si>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</si>
  <si>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</si>
  <si>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</si>
  <si>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</si>
  <si>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</si>
  <si>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</si>
  <si>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</si>
  <si>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</si>
  <si>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</si>
  <si>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</si>
  <si>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</si>
  <si>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</si>
  <si>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</si>
  <si>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</si>
  <si>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</si>
  <si>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</si>
  <si>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</si>
  <si>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</si>
  <si>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</si>
  <si>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</si>
  <si>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</si>
  <si>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</si>
  <si>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</si>
  <si>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</si>
  <si>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</si>
  <si>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</si>
  <si>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</si>
  <si>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</si>
  <si>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</si>
  <si>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</si>
  <si>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</si>
  <si>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</si>
  <si>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</si>
  <si>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</si>
  <si>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</si>
  <si>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</si>
  <si>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</si>
  <si>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</si>
  <si>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</si>
  <si>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</si>
  <si>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</si>
  <si>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</si>
  <si>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</si>
  <si>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</si>
  <si>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</si>
  <si>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</si>
  <si>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</si>
  <si>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</si>
  <si>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</si>
  <si>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</si>
  <si>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</si>
  <si>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</si>
  <si>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</si>
  <si>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</si>
  <si>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</si>
  <si>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</si>
  <si>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</si>
  <si>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</si>
  <si>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</si>
  <si>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</si>
  <si>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</si>
  <si>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</si>
  <si>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</si>
  <si>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</si>
  <si>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</si>
  <si>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</si>
  <si>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</si>
  <si>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</si>
  <si>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</si>
  <si>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</si>
  <si>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</si>
  <si>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</si>
  <si>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</si>
  <si>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</si>
  <si>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</si>
  <si>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</si>
  <si>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</si>
  <si>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</si>
  <si>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</si>
  <si>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</si>
  <si>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</si>
  <si>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</si>
  <si>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</si>
  <si>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</si>
  <si>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</si>
  <si>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</si>
  <si>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</si>
  <si>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</si>
  <si>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</si>
  <si>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</si>
  <si>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</si>
  <si>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</si>
  <si>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</si>
  <si>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</si>
  <si>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</si>
  <si>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</si>
  <si>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</si>
  <si>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</si>
  <si>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</si>
  <si>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</si>
  <si>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</si>
  <si>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</si>
  <si>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</si>
  <si>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</si>
  <si>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</si>
  <si>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</si>
  <si>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</si>
  <si>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</si>
  <si>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</si>
  <si>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</si>
  <si>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</si>
  <si>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</si>
  <si>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</si>
  <si>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</si>
  <si>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</si>
  <si>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</si>
  <si>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</si>
  <si>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</si>
  <si>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</si>
  <si>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</si>
  <si>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</si>
  <si>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</si>
  <si>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</si>
  <si>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</si>
  <si>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</si>
  <si>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</si>
  <si>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</si>
  <si>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</si>
  <si>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</si>
  <si>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</si>
  <si>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</si>
  <si>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</si>
  <si>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</si>
  <si>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</si>
  <si>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</si>
  <si>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</si>
  <si>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</si>
  <si>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</si>
  <si>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</si>
  <si>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</si>
  <si>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</si>
  <si>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</si>
  <si>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</si>
  <si>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</si>
  <si>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</si>
  <si>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</si>
  <si>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</si>
  <si>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</si>
  <si>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</si>
  <si>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</si>
  <si>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</si>
  <si>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</si>
  <si>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</si>
  <si>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</si>
  <si>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</si>
  <si>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</si>
  <si>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</si>
  <si>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</si>
  <si>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</si>
  <si>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</si>
  <si>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</si>
  <si>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</si>
  <si>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</si>
  <si>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</si>
  <si>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</si>
  <si>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</si>
  <si>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</si>
  <si>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</si>
  <si>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</si>
  <si>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</si>
  <si>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</si>
  <si>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</si>
  <si>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</si>
  <si>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</si>
  <si>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</si>
  <si>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</si>
  <si>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</si>
  <si>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</si>
  <si>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</si>
  <si>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</si>
  <si>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</si>
  <si>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</si>
  <si>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</si>
  <si>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</si>
  <si>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</si>
  <si>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</si>
  <si>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</si>
  <si>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</si>
  <si>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</si>
  <si>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</si>
  <si>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</si>
  <si>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</si>
  <si>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</si>
  <si>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</si>
  <si>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</si>
  <si>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</si>
  <si>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</si>
  <si>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</si>
  <si>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</si>
  <si>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</si>
  <si>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</si>
  <si>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</si>
  <si>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</si>
  <si>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</si>
  <si>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</si>
  <si>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</si>
  <si>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</si>
  <si>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</si>
  <si>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</si>
  <si>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</si>
  <si>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</si>
  <si>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</si>
  <si>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</si>
  <si>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</si>
  <si>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</si>
  <si>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</si>
  <si>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</si>
  <si>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</si>
  <si>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</si>
  <si>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</si>
  <si>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</si>
  <si>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</si>
  <si>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</si>
  <si>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</si>
  <si>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</si>
  <si>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</si>
  <si>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</si>
  <si>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</si>
  <si>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</si>
  <si>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</si>
  <si>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</si>
  <si>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</si>
  <si>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</si>
  <si>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</si>
  <si>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</si>
  <si>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</si>
  <si>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</si>
  <si>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</si>
  <si>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</si>
  <si>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</si>
  <si>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</si>
  <si>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</si>
  <si>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</si>
  <si>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</si>
  <si>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</si>
  <si>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</si>
  <si>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</si>
  <si>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</si>
  <si>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</si>
  <si>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</si>
  <si>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</si>
  <si>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</si>
  <si>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</si>
  <si>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</si>
  <si>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</si>
  <si>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</si>
  <si>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</si>
  <si>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</si>
  <si>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</si>
  <si>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</si>
  <si>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</si>
  <si>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</si>
  <si>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</si>
  <si>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</si>
  <si>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</si>
  <si>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</si>
  <si>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</si>
  <si>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</si>
  <si>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</si>
  <si>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</si>
  <si>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</si>
  <si>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</si>
  <si>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</si>
  <si>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</si>
  <si>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</si>
  <si>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</si>
  <si>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</si>
  <si>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</si>
  <si>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</si>
  <si>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</si>
  <si>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</si>
  <si>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</si>
  <si>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</si>
  <si>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</si>
  <si>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</si>
  <si>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</si>
  <si>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</si>
  <si>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</si>
  <si>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</si>
  <si>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</si>
  <si>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</si>
  <si>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</si>
  <si>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</si>
  <si>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</si>
  <si>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</si>
  <si>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</si>
  <si>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</si>
  <si>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</si>
  <si>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</si>
  <si>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</si>
  <si>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</si>
  <si>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</si>
  <si>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</si>
  <si>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</si>
  <si>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</si>
  <si>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</si>
  <si>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</si>
  <si>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</si>
  <si>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</si>
  <si>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</si>
  <si>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</si>
  <si>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</si>
  <si>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</si>
  <si>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</si>
  <si>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</si>
  <si>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</si>
  <si>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</si>
  <si>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</si>
  <si>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</si>
  <si>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</si>
  <si>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</si>
  <si>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</si>
  <si>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</si>
  <si>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</si>
  <si>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</si>
  <si>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</si>
  <si>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</si>
  <si>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</si>
  <si>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</si>
  <si>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</si>
  <si>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</si>
  <si>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</si>
  <si>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</si>
  <si>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</si>
  <si>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</si>
  <si>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</si>
  <si>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</si>
  <si>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</si>
  <si>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</si>
  <si>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</si>
  <si>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</si>
  <si>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</si>
  <si>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</si>
  <si>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</si>
  <si>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</si>
  <si>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</si>
  <si>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</si>
  <si>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</si>
  <si>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</si>
  <si>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</si>
  <si>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</si>
  <si>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</si>
  <si>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</si>
  <si>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</si>
  <si>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</si>
  <si>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</si>
  <si>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</si>
  <si>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</si>
  <si>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</si>
  <si>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</si>
  <si>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</si>
  <si>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</si>
  <si>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</si>
  <si>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</si>
  <si>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</si>
  <si>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</si>
  <si>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</si>
  <si>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</si>
  <si>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</si>
  <si>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</si>
  <si>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</si>
  <si>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</si>
  <si>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</si>
  <si>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</si>
  <si>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</si>
  <si>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</si>
  <si>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</si>
  <si>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</si>
  <si>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</si>
  <si>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</si>
  <si>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</si>
  <si>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</si>
  <si>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</si>
  <si>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</si>
  <si>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</si>
  <si>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</si>
  <si>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</si>
  <si>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</si>
  <si>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</si>
  <si>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</si>
  <si>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</si>
  <si>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</si>
  <si>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</si>
  <si>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</si>
  <si>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</si>
  <si>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</si>
  <si>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</si>
  <si>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</si>
  <si>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</si>
  <si>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</si>
  <si>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</si>
  <si>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</si>
  <si>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</si>
  <si>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</si>
  <si>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</si>
  <si>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</si>
  <si>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</si>
  <si>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</si>
  <si>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</si>
  <si>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</si>
  <si>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</si>
  <si>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</si>
  <si>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</si>
  <si>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</si>
  <si>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</si>
  <si>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</si>
  <si>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</si>
  <si>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</si>
  <si>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</si>
  <si>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</si>
  <si>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</si>
  <si>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</si>
  <si>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</si>
  <si>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</si>
  <si>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</si>
  <si>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</si>
  <si>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</si>
  <si>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</si>
  <si>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</si>
  <si>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</si>
  <si>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</si>
  <si>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</si>
  <si>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</si>
  <si>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</si>
  <si>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</si>
  <si>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</si>
  <si>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</si>
  <si>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</si>
  <si>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</si>
  <si>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Statistic</t>
  </si>
  <si>
    <t>Value</t>
  </si>
  <si>
    <t>Mean</t>
  </si>
  <si>
    <t>Median</t>
  </si>
  <si>
    <t>Mode</t>
  </si>
  <si>
    <t>Standard Deviation</t>
  </si>
  <si>
    <t>Row Labels</t>
  </si>
  <si>
    <t>Grand Total</t>
  </si>
  <si>
    <t>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</si>
  <si>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</si>
  <si>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</si>
  <si>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</si>
  <si>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</si>
  <si>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</si>
  <si>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</si>
  <si>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</si>
  <si>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</si>
  <si>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</si>
  <si>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</si>
  <si>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</si>
  <si>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</si>
  <si>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</t>
  </si>
  <si>
    <t>Sum of Total Amount</t>
  </si>
  <si>
    <t>24-Nov-2023</t>
  </si>
  <si>
    <t>27-Feb-2023</t>
  </si>
  <si>
    <t>13-Jan-2023</t>
  </si>
  <si>
    <t>21-May-2023</t>
  </si>
  <si>
    <t>06-May-2023</t>
  </si>
  <si>
    <t>25-Apr-2023</t>
  </si>
  <si>
    <t>13-Mar-2023</t>
  </si>
  <si>
    <t>22-Feb-2023</t>
  </si>
  <si>
    <t>13-Dec-2023</t>
  </si>
  <si>
    <t>07-Oct-2023</t>
  </si>
  <si>
    <t>14-Feb-2023</t>
  </si>
  <si>
    <t>30-Oct-2023</t>
  </si>
  <si>
    <t>05-Aug-2023</t>
  </si>
  <si>
    <t>17-Jan-2023</t>
  </si>
  <si>
    <t>16-Jan-2023</t>
  </si>
  <si>
    <t>17-Feb-2023</t>
  </si>
  <si>
    <t>22-Apr-2023</t>
  </si>
  <si>
    <t>30-Apr-2023</t>
  </si>
  <si>
    <t>16-Sep-2023</t>
  </si>
  <si>
    <t>05-Nov-2023</t>
  </si>
  <si>
    <t>14-Jan-2023</t>
  </si>
  <si>
    <t>15-Oct-2023</t>
  </si>
  <si>
    <t>12-Apr-2023</t>
  </si>
  <si>
    <t>29-Nov-2023</t>
  </si>
  <si>
    <t>26-Dec-2023</t>
  </si>
  <si>
    <t>03-Aug-2023</t>
  </si>
  <si>
    <t>23-Apr-2023</t>
  </si>
  <si>
    <t>18-Aug-2023</t>
  </si>
  <si>
    <t>29-Oct-2023</t>
  </si>
  <si>
    <t>23-May-2023</t>
  </si>
  <si>
    <t>04-Jan-2023</t>
  </si>
  <si>
    <t>23-Mar-2023</t>
  </si>
  <si>
    <t>24-Dec-2023</t>
  </si>
  <si>
    <t>24-Jun-2023</t>
  </si>
  <si>
    <t>21-Mar-2023</t>
  </si>
  <si>
    <t>21-Apr-2023</t>
  </si>
  <si>
    <t>22-Jun-2023</t>
  </si>
  <si>
    <t>14-Jul-2023</t>
  </si>
  <si>
    <t>19-Feb-2023</t>
  </si>
  <si>
    <t>03-Jul-2023</t>
  </si>
  <si>
    <t>26-Jun-2023</t>
  </si>
  <si>
    <t>06-Nov-2023</t>
  </si>
  <si>
    <t>16-May-2023</t>
  </si>
  <si>
    <t>23-Jan-2023</t>
  </si>
  <si>
    <t>24-Aug-2023</t>
  </si>
  <si>
    <t>02-Oct-2023</t>
  </si>
  <si>
    <t>05-Mar-2023</t>
  </si>
  <si>
    <t>13-Jul-2023</t>
  </si>
  <si>
    <t>10-Feb-2023</t>
  </si>
  <si>
    <t>10-Oct-2023</t>
  </si>
  <si>
    <t>31-May-2023</t>
  </si>
  <si>
    <t>18-Nov-2023</t>
  </si>
  <si>
    <t>13-Nov-2023</t>
  </si>
  <si>
    <t>05-Jul-2023</t>
  </si>
  <si>
    <t>23-Oct-2023</t>
  </si>
  <si>
    <t>09-Apr-2023</t>
  </si>
  <si>
    <t>27-Dec-2023</t>
  </si>
  <si>
    <t>05-Feb-2023</t>
  </si>
  <si>
    <t>24-Jan-2023</t>
  </si>
  <si>
    <t>05-Dec-2023</t>
  </si>
  <si>
    <t>27-Apr-2023</t>
  </si>
  <si>
    <t>29-May-2023</t>
  </si>
  <si>
    <t>21-Feb-2023</t>
  </si>
  <si>
    <t>21-Aug-2023</t>
  </si>
  <si>
    <t>22-Nov-2023</t>
  </si>
  <si>
    <t>06-Jul-2023</t>
  </si>
  <si>
    <t>25-Mar-2023</t>
  </si>
  <si>
    <t>09-Jul-2023</t>
  </si>
  <si>
    <t>01-Jul-2023</t>
  </si>
  <si>
    <t>18-Apr-2023</t>
  </si>
  <si>
    <t>10-Dec-2023</t>
  </si>
  <si>
    <t>17-May-2023</t>
  </si>
  <si>
    <t>16-Dec-2023</t>
  </si>
  <si>
    <t>28-Nov-2023</t>
  </si>
  <si>
    <t>06-Feb-2023</t>
  </si>
  <si>
    <t>08-Nov-2023</t>
  </si>
  <si>
    <t>29-Mar-2023</t>
  </si>
  <si>
    <t>01-Oct-2023</t>
  </si>
  <si>
    <t>25-Aug-2023</t>
  </si>
  <si>
    <t>19-May-2023</t>
  </si>
  <si>
    <t>19-Dec-2023</t>
  </si>
  <si>
    <t>13-Oct-2023</t>
  </si>
  <si>
    <t>17-Dec-2023</t>
  </si>
  <si>
    <t>16-Jun-2023</t>
  </si>
  <si>
    <t>29-Jan-2023</t>
  </si>
  <si>
    <t>28-Apr-2023</t>
  </si>
  <si>
    <t>11-Jun-2023</t>
  </si>
  <si>
    <t>25-Jul-2023</t>
  </si>
  <si>
    <t>18-May-2023</t>
  </si>
  <si>
    <t>03-Feb-2023</t>
  </si>
  <si>
    <t>19-Apr-2023</t>
  </si>
  <si>
    <t>18-Oct-2023</t>
  </si>
  <si>
    <t>02-Dec-2023</t>
  </si>
  <si>
    <t>13-Sep-2023</t>
  </si>
  <si>
    <t>22-Jul-2023</t>
  </si>
  <si>
    <t>26-Nov-2023</t>
  </si>
  <si>
    <t>23-Aug-2023</t>
  </si>
  <si>
    <t>15-Mar-2023</t>
  </si>
  <si>
    <t>07-May-2023</t>
  </si>
  <si>
    <t>03-Oct-2023</t>
  </si>
  <si>
    <t>15-May-2023</t>
  </si>
  <si>
    <t>27-Oct-2023</t>
  </si>
  <si>
    <t>08-Aug-2023</t>
  </si>
  <si>
    <t>26-Oct-2023</t>
  </si>
  <si>
    <t>24-Jul-2023</t>
  </si>
  <si>
    <t>12-Mar-2023</t>
  </si>
  <si>
    <t>18-Sep-2023</t>
  </si>
  <si>
    <t>10-Sep-2023</t>
  </si>
  <si>
    <t>16-Feb-2023</t>
  </si>
  <si>
    <t>25-Jan-2023</t>
  </si>
  <si>
    <t>26-Feb-2023</t>
  </si>
  <si>
    <t>20-Mar-2023</t>
  </si>
  <si>
    <t>15-Dec-2023</t>
  </si>
  <si>
    <t>02-Nov-2023</t>
  </si>
  <si>
    <t>02-Feb-2023</t>
  </si>
  <si>
    <t>17-Jul-2023</t>
  </si>
  <si>
    <t>15-Jul-2023</t>
  </si>
  <si>
    <t>28-Aug-2023</t>
  </si>
  <si>
    <t>28-Sep-2023</t>
  </si>
  <si>
    <t>09-May-2023</t>
  </si>
  <si>
    <t>11-Oct-2023</t>
  </si>
  <si>
    <t>06-Jan-2023</t>
  </si>
  <si>
    <t>28-Feb-2023</t>
  </si>
  <si>
    <t>25-Nov-2023</t>
  </si>
  <si>
    <t>11-Aug-2023</t>
  </si>
  <si>
    <t>22-Mar-2023</t>
  </si>
  <si>
    <t>02-Jan-2023</t>
  </si>
  <si>
    <t>14-Sep-2023</t>
  </si>
  <si>
    <t>02-Apr-2023</t>
  </si>
  <si>
    <t>17-Sep-2023</t>
  </si>
  <si>
    <t>24-Feb-2023</t>
  </si>
  <si>
    <t>17-Nov-2023</t>
  </si>
  <si>
    <t>02-Jun-2023</t>
  </si>
  <si>
    <t>11-Jul-2023</t>
  </si>
  <si>
    <t>24-Mar-2023</t>
  </si>
  <si>
    <t>04-Oct-2023</t>
  </si>
  <si>
    <t>29-Sep-2023</t>
  </si>
  <si>
    <t>01-Jan-2023</t>
  </si>
  <si>
    <t>03-Nov-2023</t>
  </si>
  <si>
    <t>15-Jun-2023</t>
  </si>
  <si>
    <t>08-Sep-2023</t>
  </si>
  <si>
    <t>10-Jan-2023</t>
  </si>
  <si>
    <t>07-Jun-2023</t>
  </si>
  <si>
    <t>03-May-2023</t>
  </si>
  <si>
    <t>30-Jan-2023</t>
  </si>
  <si>
    <t>04-May-2023</t>
  </si>
  <si>
    <t>13-Feb-2023</t>
  </si>
  <si>
    <t>06-Sep-2023</t>
  </si>
  <si>
    <t>30-Sep-2023</t>
  </si>
  <si>
    <t>06-Mar-2023</t>
  </si>
  <si>
    <t>07-Mar-2023</t>
  </si>
  <si>
    <t>04-Dec-2023</t>
  </si>
  <si>
    <t>01-Sep-2023</t>
  </si>
  <si>
    <t>09-Oct-2023</t>
  </si>
  <si>
    <t>26-Mar-2023</t>
  </si>
  <si>
    <t>07-Nov-2023</t>
  </si>
  <si>
    <t>20-Dec-2023</t>
  </si>
  <si>
    <t>13-Apr-2023</t>
  </si>
  <si>
    <t>01-Jan-2024</t>
  </si>
  <si>
    <t>09-Jun-2023</t>
  </si>
  <si>
    <t>13-Aug-2023</t>
  </si>
  <si>
    <t>22-Sep-2023</t>
  </si>
  <si>
    <t>20-Aug-2023</t>
  </si>
  <si>
    <t>03-Mar-2023</t>
  </si>
  <si>
    <t>26-Apr-2023</t>
  </si>
  <si>
    <t>23-Jun-2023</t>
  </si>
  <si>
    <t>11-Jan-2023</t>
  </si>
  <si>
    <t>29-Dec-2023</t>
  </si>
  <si>
    <t>20-Nov-2023</t>
  </si>
  <si>
    <t>31-Jan-2023</t>
  </si>
  <si>
    <t>04-Feb-2023</t>
  </si>
  <si>
    <t>19-Jun-2023</t>
  </si>
  <si>
    <t>21-Sep-2023</t>
  </si>
  <si>
    <t>02-May-2023</t>
  </si>
  <si>
    <t>09-Dec-2023</t>
  </si>
  <si>
    <t>20-Apr-2023</t>
  </si>
  <si>
    <t>09-Mar-2023</t>
  </si>
  <si>
    <t>20-Oct-2023</t>
  </si>
  <si>
    <t>31-Aug-2023</t>
  </si>
  <si>
    <t>05-May-2023</t>
  </si>
  <si>
    <t>28-Jul-2023</t>
  </si>
  <si>
    <t>08-Apr-2023</t>
  </si>
  <si>
    <t>18-Feb-2023</t>
  </si>
  <si>
    <t>09-Aug-2023</t>
  </si>
  <si>
    <t>30-Jul-2023</t>
  </si>
  <si>
    <t>28-Jan-2023</t>
  </si>
  <si>
    <t>11-Dec-2023</t>
  </si>
  <si>
    <t>01-Dec-2023</t>
  </si>
  <si>
    <t>27-Nov-2023</t>
  </si>
  <si>
    <t>20-Feb-2023</t>
  </si>
  <si>
    <t>01-Feb-2023</t>
  </si>
  <si>
    <t>26-Jul-2023</t>
  </si>
  <si>
    <t>25-Feb-2023</t>
  </si>
  <si>
    <t>08-May-2023</t>
  </si>
  <si>
    <t>04-Apr-2023</t>
  </si>
  <si>
    <t>08-Feb-2023</t>
  </si>
  <si>
    <t>15-Aug-2023</t>
  </si>
  <si>
    <t>26-Jan-2023</t>
  </si>
  <si>
    <t>30-Nov-2023</t>
  </si>
  <si>
    <t>08-Jan-2023</t>
  </si>
  <si>
    <t>27-Mar-2023</t>
  </si>
  <si>
    <t>04-Sep-2023</t>
  </si>
  <si>
    <t>19-Jul-2023</t>
  </si>
  <si>
    <t>27-May-2023</t>
  </si>
  <si>
    <t>23-Dec-2023</t>
  </si>
  <si>
    <t>12-Oct-2023</t>
  </si>
  <si>
    <t>07-Sep-2023</t>
  </si>
  <si>
    <t>01-Jun-2023</t>
  </si>
  <si>
    <t>24-Oct-2023</t>
  </si>
  <si>
    <t>05-Oct-2023</t>
  </si>
  <si>
    <t>10-Jun-2023</t>
  </si>
  <si>
    <t>02-Sep-2023</t>
  </si>
  <si>
    <t>15-Sep-2023</t>
  </si>
  <si>
    <t>11-Feb-2023</t>
  </si>
  <si>
    <t>06-Apr-2023</t>
  </si>
  <si>
    <t>01-Nov-2023</t>
  </si>
  <si>
    <t>12-Dec-2023</t>
  </si>
  <si>
    <t>01-May-2023</t>
  </si>
  <si>
    <t>19-Oct-2023</t>
  </si>
  <si>
    <t>21-Jan-2023</t>
  </si>
  <si>
    <t>14-Nov-2023</t>
  </si>
  <si>
    <t>03-Dec-2023</t>
  </si>
  <si>
    <t>17-Oct-2023</t>
  </si>
  <si>
    <t>25-Sep-2023</t>
  </si>
  <si>
    <t>14-May-2023</t>
  </si>
  <si>
    <t>15-Apr-2023</t>
  </si>
  <si>
    <t>03-Jun-2023</t>
  </si>
  <si>
    <t>07-Feb-2023</t>
  </si>
  <si>
    <t>05-Jan-2023</t>
  </si>
  <si>
    <t>15-Nov-2023</t>
  </si>
  <si>
    <t>16-Oct-2023</t>
  </si>
  <si>
    <t>28-Jun-2023</t>
  </si>
  <si>
    <t>26-May-2023</t>
  </si>
  <si>
    <t>06-Oct-2023</t>
  </si>
  <si>
    <t>04-Jun-2023</t>
  </si>
  <si>
    <t>10-Nov-2023</t>
  </si>
  <si>
    <t>08-Dec-2023</t>
  </si>
  <si>
    <t>06-Dec-2023</t>
  </si>
  <si>
    <t>23-Feb-2023</t>
  </si>
  <si>
    <t>10-Mar-2023</t>
  </si>
  <si>
    <t>01-Mar-2023</t>
  </si>
  <si>
    <t>20-May-2023</t>
  </si>
  <si>
    <t>25-May-2023</t>
  </si>
  <si>
    <t>25-Jun-2023</t>
  </si>
  <si>
    <t>18-Dec-2023</t>
  </si>
  <si>
    <t>21-Nov-2023</t>
  </si>
  <si>
    <t>27-Jan-2023</t>
  </si>
  <si>
    <t>22-May-2023</t>
  </si>
  <si>
    <t>20-Jun-2023</t>
  </si>
  <si>
    <t>08-Mar-2023</t>
  </si>
  <si>
    <t>23-Nov-2023</t>
  </si>
  <si>
    <t>28-Dec-2023</t>
  </si>
  <si>
    <t>07-Aug-2023</t>
  </si>
  <si>
    <t>18-Mar-2023</t>
  </si>
  <si>
    <t>19-Jan-2023</t>
  </si>
  <si>
    <t>17-Mar-2023</t>
  </si>
  <si>
    <t>22-Jan-2023</t>
  </si>
  <si>
    <t>14-Oct-2023</t>
  </si>
  <si>
    <t>01-Apr-2023</t>
  </si>
  <si>
    <t>31-Jul-2023</t>
  </si>
  <si>
    <t>20-Jan-2023</t>
  </si>
  <si>
    <t>29-Aug-2023</t>
  </si>
  <si>
    <t>24-Apr-2023</t>
  </si>
  <si>
    <t>29-Jun-2023</t>
  </si>
  <si>
    <t>06-Jun-2023</t>
  </si>
  <si>
    <t>18-Jun-2023</t>
  </si>
  <si>
    <t>14-Dec-2023</t>
  </si>
  <si>
    <t>15-Jan-2023</t>
  </si>
  <si>
    <t>25-Oct-2023</t>
  </si>
  <si>
    <t>12-Aug-2023</t>
  </si>
  <si>
    <t>19-Sep-2023</t>
  </si>
  <si>
    <t>11-May-2023</t>
  </si>
  <si>
    <t>24-Sep-2023</t>
  </si>
  <si>
    <t>11-Apr-2023</t>
  </si>
  <si>
    <t>07-Dec-2023</t>
  </si>
  <si>
    <t>16-Nov-2023</t>
  </si>
  <si>
    <t>08-Jun-2023</t>
  </si>
  <si>
    <t>29-Jul-2023</t>
  </si>
  <si>
    <t>17-Jun-2023</t>
  </si>
  <si>
    <t>04-Aug-2023</t>
  </si>
  <si>
    <t>31-Mar-2023</t>
  </si>
  <si>
    <t>12-Nov-2023</t>
  </si>
  <si>
    <t>27-Jul-2023</t>
  </si>
  <si>
    <t>08-Oct-2023</t>
  </si>
  <si>
    <t>05-Jun-2023</t>
  </si>
  <si>
    <t>14-Jun-2023</t>
  </si>
  <si>
    <t>27-Aug-2023</t>
  </si>
  <si>
    <t>28-Mar-2023</t>
  </si>
  <si>
    <t>21-Jun-2023</t>
  </si>
  <si>
    <t>09-Nov-2023</t>
  </si>
  <si>
    <t>22-Aug-2023</t>
  </si>
  <si>
    <t>01-Aug-2023</t>
  </si>
  <si>
    <t>19-Nov-2023</t>
  </si>
  <si>
    <t>22-Oct-2023</t>
  </si>
  <si>
    <t>10-Apr-2023</t>
  </si>
  <si>
    <t>16-Jul-2023</t>
  </si>
  <si>
    <t>11-Sep-2023</t>
  </si>
  <si>
    <t>03-Jan-2023</t>
  </si>
  <si>
    <t>06-Aug-2023</t>
  </si>
  <si>
    <t>23-Sep-2023</t>
  </si>
  <si>
    <t>26-Aug-2023</t>
  </si>
  <si>
    <t>04-Mar-2023</t>
  </si>
  <si>
    <t>12-Jun-2023</t>
  </si>
  <si>
    <t>17-Aug-2023</t>
  </si>
  <si>
    <t>19-Aug-2023</t>
  </si>
  <si>
    <t>13-May-2023</t>
  </si>
  <si>
    <t>14-Aug-2023</t>
  </si>
  <si>
    <t>09-Feb-2023</t>
  </si>
  <si>
    <t>13-Jun-2023</t>
  </si>
  <si>
    <t>19-Mar-2023</t>
  </si>
  <si>
    <t>29-Apr-2023</t>
  </si>
  <si>
    <t>22-Dec-2023</t>
  </si>
  <si>
    <t>16-Apr-2023</t>
  </si>
  <si>
    <t>30-Jun-2023</t>
  </si>
  <si>
    <t>21-Jul-2023</t>
  </si>
  <si>
    <t>31-Oct-2023</t>
  </si>
  <si>
    <t>12-Feb-2023</t>
  </si>
  <si>
    <t>11-Mar-2023</t>
  </si>
  <si>
    <t>10-May-2023</t>
  </si>
  <si>
    <t>25-Dec-2023</t>
  </si>
  <si>
    <t>12-May-2023</t>
  </si>
  <si>
    <t>08-Jul-2023</t>
  </si>
  <si>
    <t>12-Jul-2023</t>
  </si>
  <si>
    <t>23-Jul-2023</t>
  </si>
  <si>
    <t>04-Nov-2023</t>
  </si>
  <si>
    <t>27-Jun-2023</t>
  </si>
  <si>
    <t>07-Jan-2023</t>
  </si>
  <si>
    <t>10-Aug-2023</t>
  </si>
  <si>
    <t>05-Sep-2023</t>
  </si>
  <si>
    <t>24-May-2023</t>
  </si>
  <si>
    <t>31-Dec-2023</t>
  </si>
  <si>
    <t>09-Sep-2023</t>
  </si>
  <si>
    <t>09-Jan-2023</t>
  </si>
  <si>
    <t>21-Dec-2023</t>
  </si>
  <si>
    <t>05-Apr-2023</t>
  </si>
  <si>
    <t>26-Sep-2023</t>
  </si>
  <si>
    <t>04-Jul-2023</t>
  </si>
  <si>
    <t>30-May-2023</t>
  </si>
  <si>
    <t>21-Oct-2023</t>
  </si>
  <si>
    <t>03-Sep-2023</t>
  </si>
  <si>
    <t>02-Mar-2023</t>
  </si>
  <si>
    <t>02-Aug-2023</t>
  </si>
  <si>
    <t>17-Apr-2023</t>
  </si>
  <si>
    <t>30-Mar-2023</t>
  </si>
  <si>
    <t>28-May-2023</t>
  </si>
  <si>
    <t>Average Monthly Sales</t>
  </si>
  <si>
    <t>Highest Sales</t>
  </si>
  <si>
    <t>Lowest Sales</t>
  </si>
  <si>
    <t>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</si>
</sst>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 inden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[retail_sales_dataset(AutoRecovered).xlsx]retail_sales_dataset(AutoRecove!PivotTable4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Total Sales Trend Over Time</a:t>
            </a:r>
            <a:endParaRPr lang="en-IN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'retail_sales_dataset(AutoRecove'!$B$1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'retail_sales_dataset(AutoRecove'!$A$2:$A$17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'retail_sales_dataset(AutoRecove'!$B$2:$B$17</c:f>
              <c:numCache>
                <c:formatCode>General</c:formatCode>
                <c:ptCount val="13"/>
                <c:pt idx="0">
                  <c:v>35450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  <c:pt idx="12">
                  <c:v>1530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DA-47CE-9E3C-9F4ED4E46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0896464"/>
        <c:axId val="1884952512"/>
      </c:lineChart>
      <c:catAx>
        <c:axId val="2030896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952512"/>
        <c:crosses val="autoZero"/>
        <c:auto val="1"/>
        <c:lblAlgn val="ctr"/>
        <c:lblOffset val="100"/>
        <c:noMultiLvlLbl val="0"/>
      </c:catAx>
      <c:valAx>
        <c:axId val="188495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89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6</xdr:row>
      <xdr:rowOff>76200</xdr:rowOff>
    </xdr:from>
    <xdr:to>
      <xdr:col>14</xdr:col>
      <xdr:colOff>276225</xdr:colOff>
      <xdr:row>20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6D08FA-A3BE-4723-B990-FE88AEB2AE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16.483166550926" createdVersion="6" refreshedVersion="6" minRefreshableVersion="3" recordCount="1000" xr:uid="{00000000-000A-0000-FFFF-FFFF06000000}">
  <cacheSource type="worksheet">
    <worksheetSource ref="A1:I1001" sheet="retail_sales_dataset"/>
  </cacheSource>
  <cacheFields count="10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 count="345">
        <d v="2023-11-24T00:00:00"/>
        <d v="2023-02-27T00:00:00"/>
        <d v="2023-01-13T00:00:00"/>
        <d v="2023-05-21T00:00:00"/>
        <d v="2023-05-06T00:00:00"/>
        <d v="2023-04-25T00:00:00"/>
        <d v="2023-03-13T00:00:00"/>
        <d v="2023-02-22T00:00:00"/>
        <d v="2023-12-13T00:00:00"/>
        <d v="2023-10-07T00:00:00"/>
        <d v="2023-02-14T00:00:00"/>
        <d v="2023-10-30T00:00:00"/>
        <d v="2023-08-05T00:00:00"/>
        <d v="2023-01-17T00:00:00"/>
        <d v="2023-01-16T00:00:00"/>
        <d v="2023-02-17T00:00:00"/>
        <d v="2023-04-22T00:00:00"/>
        <d v="2023-04-30T00:00:00"/>
        <d v="2023-09-16T00:00:00"/>
        <d v="2023-11-05T00:00:00"/>
        <d v="2023-01-14T00:00:00"/>
        <d v="2023-10-15T00:00:00"/>
        <d v="2023-04-12T00:00:00"/>
        <d v="2023-11-29T00:00:00"/>
        <d v="2023-12-26T00:00:00"/>
        <d v="2023-08-03T00:00:00"/>
        <d v="2023-04-23T00:00:00"/>
        <d v="2023-08-18T00:00:00"/>
        <d v="2023-10-29T00:00:00"/>
        <d v="2023-05-23T00:00:00"/>
        <d v="2023-01-04T00:00:00"/>
        <d v="2023-03-23T00:00:00"/>
        <d v="2023-12-24T00:00:00"/>
        <d v="2023-06-24T00:00:00"/>
        <d v="2023-03-21T00:00:00"/>
        <d v="2023-04-21T00:00:00"/>
        <d v="2023-06-22T00:00:00"/>
        <d v="2023-07-14T00:00:00"/>
        <d v="2023-02-19T00:00:00"/>
        <d v="2023-07-03T00:00:00"/>
        <d v="2023-06-26T00:00:00"/>
        <d v="2023-11-06T00:00:00"/>
        <d v="2023-05-16T00:00:00"/>
        <d v="2023-01-23T00:00:00"/>
        <d v="2023-08-24T00:00:00"/>
        <d v="2023-10-02T00:00:00"/>
        <d v="2023-03-05T00:00:00"/>
        <d v="2023-07-13T00:00:00"/>
        <d v="2023-02-10T00:00:00"/>
        <d v="2023-10-10T00:00:00"/>
        <d v="2023-05-31T00:00:00"/>
        <d v="2023-11-18T00:00:00"/>
        <d v="2023-11-13T00:00:00"/>
        <d v="2023-07-05T00:00:00"/>
        <d v="2023-10-23T00:00:00"/>
        <d v="2023-04-09T00:00:00"/>
        <d v="2023-12-27T00:00:00"/>
        <d v="2023-02-05T00:00:00"/>
        <d v="2023-01-24T00:00:00"/>
        <d v="2023-12-05T00:00:00"/>
        <d v="2023-04-27T00:00:00"/>
        <d v="2023-05-29T00:00:00"/>
        <d v="2023-02-21T00:00:00"/>
        <d v="2023-08-21T00:00:00"/>
        <d v="2023-11-22T00:00:00"/>
        <d v="2023-07-06T00:00:00"/>
        <d v="2023-03-25T00:00:00"/>
        <d v="2023-07-09T00:00:00"/>
        <d v="2023-07-01T00:00:00"/>
        <d v="2023-04-18T00:00:00"/>
        <d v="2023-12-10T00:00:00"/>
        <d v="2023-05-17T00:00:00"/>
        <d v="2023-12-16T00:00:00"/>
        <d v="2023-11-28T00:00:00"/>
        <d v="2023-02-06T00:00:00"/>
        <d v="2023-11-08T00:00:00"/>
        <d v="2023-03-29T00:00:00"/>
        <d v="2023-10-01T00:00:00"/>
        <d v="2023-08-25T00:00:00"/>
        <d v="2023-05-19T00:00:00"/>
        <d v="2023-12-19T00:00:00"/>
        <d v="2023-10-13T00:00:00"/>
        <d v="2023-12-17T00:00:00"/>
        <d v="2023-06-16T00:00:00"/>
        <d v="2023-01-29T00:00:00"/>
        <d v="2023-04-28T00:00:00"/>
        <d v="2023-06-11T00:00:00"/>
        <d v="2023-07-25T00:00:00"/>
        <d v="2023-05-18T00:00:00"/>
        <d v="2023-02-03T00:00:00"/>
        <d v="2023-04-19T00:00:00"/>
        <d v="2023-10-18T00:00:00"/>
        <d v="2023-12-02T00:00:00"/>
        <d v="2023-09-13T00:00:00"/>
        <d v="2023-07-22T00:00:00"/>
        <d v="2023-11-26T00:00:00"/>
        <d v="2023-08-23T00:00:00"/>
        <d v="2023-03-15T00:00:00"/>
        <d v="2023-05-07T00:00:00"/>
        <d v="2023-10-03T00:00:00"/>
        <d v="2023-05-15T00:00:00"/>
        <d v="2023-10-27T00:00:00"/>
        <d v="2023-08-08T00:00:00"/>
        <d v="2023-10-26T00:00:00"/>
        <d v="2023-07-24T00:00:00"/>
        <d v="2023-03-12T00:00:00"/>
        <d v="2023-09-18T00:00:00"/>
        <d v="2023-09-10T00:00:00"/>
        <d v="2023-02-16T00:00:00"/>
        <d v="2023-01-25T00:00:00"/>
        <d v="2023-02-26T00:00:00"/>
        <d v="2023-03-20T00:00:00"/>
        <d v="2023-12-15T00:00:00"/>
        <d v="2023-11-02T00:00:00"/>
        <d v="2023-02-02T00:00:00"/>
        <d v="2023-07-17T00:00:00"/>
        <d v="2023-07-15T00:00:00"/>
        <d v="2023-08-28T00:00:00"/>
        <d v="2023-09-28T00:00:00"/>
        <d v="2023-05-09T00:00:00"/>
        <d v="2023-10-11T00:00:00"/>
        <d v="2023-01-06T00:00:00"/>
        <d v="2023-02-28T00:00:00"/>
        <d v="2023-11-25T00:00:00"/>
        <d v="2023-08-11T00:00:00"/>
        <d v="2023-03-22T00:00:00"/>
        <d v="2023-01-02T00:00:00"/>
        <d v="2023-09-14T00:00:00"/>
        <d v="2023-04-02T00:00:00"/>
        <d v="2023-09-17T00:00:00"/>
        <d v="2023-02-24T00:00:00"/>
        <d v="2023-11-17T00:00:00"/>
        <d v="2023-06-02T00:00:00"/>
        <d v="2023-07-11T00:00:00"/>
        <d v="2023-03-24T00:00:00"/>
        <d v="2023-10-04T00:00:00"/>
        <d v="2023-09-29T00:00:00"/>
        <d v="2023-01-01T00:00:00"/>
        <d v="2023-11-03T00:00:00"/>
        <d v="2023-06-15T00:00:00"/>
        <d v="2023-09-08T00:00:00"/>
        <d v="2023-01-10T00:00:00"/>
        <d v="2023-06-07T00:00:00"/>
        <d v="2023-05-03T00:00:00"/>
        <d v="2023-01-30T00:00:00"/>
        <d v="2023-05-04T00:00:00"/>
        <d v="2023-02-13T00:00:00"/>
        <d v="2023-09-06T00:00:00"/>
        <d v="2023-09-30T00:00:00"/>
        <d v="2023-03-06T00:00:00"/>
        <d v="2023-03-07T00:00:00"/>
        <d v="2023-12-04T00:00:00"/>
        <d v="2023-09-01T00:00:00"/>
        <d v="2023-10-09T00:00:00"/>
        <d v="2023-03-26T00:00:00"/>
        <d v="2023-11-07T00:00:00"/>
        <d v="2023-12-20T00:00:00"/>
        <d v="2023-04-13T00:00:00"/>
        <d v="2024-01-01T00:00:00"/>
        <d v="2023-06-09T00:00:00"/>
        <d v="2023-08-13T00:00:00"/>
        <d v="2023-09-22T00:00:00"/>
        <d v="2023-08-20T00:00:00"/>
        <d v="2023-03-03T00:00:00"/>
        <d v="2023-04-26T00:00:00"/>
        <d v="2023-06-23T00:00:00"/>
        <d v="2023-01-11T00:00:00"/>
        <d v="2023-12-29T00:00:00"/>
        <d v="2023-11-20T00:00:00"/>
        <d v="2023-01-31T00:00:00"/>
        <d v="2023-02-04T00:00:00"/>
        <d v="2023-06-19T00:00:00"/>
        <d v="2023-09-21T00:00:00"/>
        <d v="2023-05-02T00:00:00"/>
        <d v="2023-12-09T00:00:00"/>
        <d v="2023-04-20T00:00:00"/>
        <d v="2023-03-09T00:00:00"/>
        <d v="2023-10-20T00:00:00"/>
        <d v="2023-08-31T00:00:00"/>
        <d v="2023-05-05T00:00:00"/>
        <d v="2023-07-28T00:00:00"/>
        <d v="2023-04-08T00:00:00"/>
        <d v="2023-02-18T00:00:00"/>
        <d v="2023-08-09T00:00:00"/>
        <d v="2023-07-30T00:00:00"/>
        <d v="2023-01-28T00:00:00"/>
        <d v="2023-12-11T00:00:00"/>
        <d v="2023-12-01T00:00:00"/>
        <d v="2023-11-27T00:00:00"/>
        <d v="2023-02-20T00:00:00"/>
        <d v="2023-02-01T00:00:00"/>
        <d v="2023-07-26T00:00:00"/>
        <d v="2023-02-25T00:00:00"/>
        <d v="2023-05-08T00:00:00"/>
        <d v="2023-04-04T00:00:00"/>
        <d v="2023-02-08T00:00:00"/>
        <d v="2023-08-15T00:00:00"/>
        <d v="2023-01-26T00:00:00"/>
        <d v="2023-11-30T00:00:00"/>
        <d v="2023-01-08T00:00:00"/>
        <d v="2023-03-27T00:00:00"/>
        <d v="2023-09-04T00:00:00"/>
        <d v="2023-07-19T00:00:00"/>
        <d v="2023-05-27T00:00:00"/>
        <d v="2023-12-23T00:00:00"/>
        <d v="2023-10-12T00:00:00"/>
        <d v="2023-09-07T00:00:00"/>
        <d v="2023-06-01T00:00:00"/>
        <d v="2023-10-24T00:00:00"/>
        <d v="2023-10-05T00:00:00"/>
        <d v="2023-06-10T00:00:00"/>
        <d v="2023-09-02T00:00:00"/>
        <d v="2023-09-15T00:00:00"/>
        <d v="2023-02-11T00:00:00"/>
        <d v="2023-04-06T00:00:00"/>
        <d v="2023-11-01T00:00:00"/>
        <d v="2023-12-12T00:00:00"/>
        <d v="2023-05-01T00:00:00"/>
        <d v="2023-10-19T00:00:00"/>
        <d v="2023-01-21T00:00:00"/>
        <d v="2023-11-14T00:00:00"/>
        <d v="2023-12-03T00:00:00"/>
        <d v="2023-10-17T00:00:00"/>
        <d v="2023-09-25T00:00:00"/>
        <d v="2023-05-14T00:00:00"/>
        <d v="2023-04-15T00:00:00"/>
        <d v="2023-06-03T00:00:00"/>
        <d v="2023-02-07T00:00:00"/>
        <d v="2023-01-05T00:00:00"/>
        <d v="2023-11-15T00:00:00"/>
        <d v="2023-10-16T00:00:00"/>
        <d v="2023-06-28T00:00:00"/>
        <d v="2023-05-26T00:00:00"/>
        <d v="2023-10-06T00:00:00"/>
        <d v="2023-06-04T00:00:00"/>
        <d v="2023-11-10T00:00:00"/>
        <d v="2023-12-08T00:00:00"/>
        <d v="2023-12-06T00:00:00"/>
        <d v="2023-02-23T00:00:00"/>
        <d v="2023-03-10T00:00:00"/>
        <d v="2023-03-01T00:00:00"/>
        <d v="2023-05-20T00:00:00"/>
        <d v="2023-05-25T00:00:00"/>
        <d v="2023-06-25T00:00:00"/>
        <d v="2023-12-18T00:00:00"/>
        <d v="2023-11-21T00:00:00"/>
        <d v="2023-01-27T00:00:00"/>
        <d v="2023-05-22T00:00:00"/>
        <d v="2023-06-20T00:00:00"/>
        <d v="2023-03-08T00:00:00"/>
        <d v="2023-11-23T00:00:00"/>
        <d v="2023-12-28T00:00:00"/>
        <d v="2023-08-07T00:00:00"/>
        <d v="2023-03-18T00:00:00"/>
        <d v="2023-01-19T00:00:00"/>
        <d v="2023-03-17T00:00:00"/>
        <d v="2023-01-22T00:00:00"/>
        <d v="2023-10-14T00:00:00"/>
        <d v="2023-04-01T00:00:00"/>
        <d v="2023-07-31T00:00:00"/>
        <d v="2023-01-20T00:00:00"/>
        <d v="2023-08-29T00:00:00"/>
        <d v="2023-04-24T00:00:00"/>
        <d v="2023-06-29T00:00:00"/>
        <d v="2023-06-06T00:00:00"/>
        <d v="2023-06-18T00:00:00"/>
        <d v="2023-12-14T00:00:00"/>
        <d v="2023-01-15T00:00:00"/>
        <d v="2023-10-25T00:00:00"/>
        <d v="2023-08-12T00:00:00"/>
        <d v="2023-09-19T00:00:00"/>
        <d v="2023-05-11T00:00:00"/>
        <d v="2023-09-24T00:00:00"/>
        <d v="2023-04-11T00:00:00"/>
        <d v="2023-12-07T00:00:00"/>
        <d v="2023-11-16T00:00:00"/>
        <d v="2023-06-08T00:00:00"/>
        <d v="2023-07-29T00:00:00"/>
        <d v="2023-06-17T00:00:00"/>
        <d v="2023-08-04T00:00:00"/>
        <d v="2023-03-31T00:00:00"/>
        <d v="2023-11-12T00:00:00"/>
        <d v="2023-07-27T00:00:00"/>
        <d v="2023-10-08T00:00:00"/>
        <d v="2023-06-05T00:00:00"/>
        <d v="2023-06-14T00:00:00"/>
        <d v="2023-08-27T00:00:00"/>
        <d v="2023-03-28T00:00:00"/>
        <d v="2023-06-21T00:00:00"/>
        <d v="2023-11-09T00:00:00"/>
        <d v="2023-08-22T00:00:00"/>
        <d v="2023-08-01T00:00:00"/>
        <d v="2023-11-19T00:00:00"/>
        <d v="2023-10-22T00:00:00"/>
        <d v="2023-04-10T00:00:00"/>
        <d v="2023-07-16T00:00:00"/>
        <d v="2023-09-11T00:00:00"/>
        <d v="2023-01-03T00:00:00"/>
        <d v="2023-08-06T00:00:00"/>
        <d v="2023-09-23T00:00:00"/>
        <d v="2023-08-26T00:00:00"/>
        <d v="2023-03-04T00:00:00"/>
        <d v="2023-06-12T00:00:00"/>
        <d v="2023-08-17T00:00:00"/>
        <d v="2023-08-19T00:00:00"/>
        <d v="2023-05-13T00:00:00"/>
        <d v="2023-08-14T00:00:00"/>
        <d v="2023-02-09T00:00:00"/>
        <d v="2023-06-13T00:00:00"/>
        <d v="2023-03-19T00:00:00"/>
        <d v="2023-04-29T00:00:00"/>
        <d v="2023-12-22T00:00:00"/>
        <d v="2023-04-16T00:00:00"/>
        <d v="2023-06-30T00:00:00"/>
        <d v="2023-07-21T00:00:00"/>
        <d v="2023-10-31T00:00:00"/>
        <d v="2023-02-12T00:00:00"/>
        <d v="2023-03-11T00:00:00"/>
        <d v="2023-05-10T00:00:00"/>
        <d v="2023-12-25T00:00:00"/>
        <d v="2023-05-12T00:00:00"/>
        <d v="2023-07-08T00:00:00"/>
        <d v="2023-07-12T00:00:00"/>
        <d v="2023-07-23T00:00:00"/>
        <d v="2023-11-04T00:00:00"/>
        <d v="2023-06-27T00:00:00"/>
        <d v="2023-01-07T00:00:00"/>
        <d v="2023-08-10T00:00:00"/>
        <d v="2023-09-05T00:00:00"/>
        <d v="2023-05-24T00:00:00"/>
        <d v="2023-12-31T00:00:00"/>
        <d v="2023-09-09T00:00:00"/>
        <d v="2023-01-09T00:00:00"/>
        <d v="2023-12-21T00:00:00"/>
        <d v="2023-04-05T00:00:00"/>
        <d v="2023-09-26T00:00:00"/>
        <d v="2023-07-04T00:00:00"/>
        <d v="2023-05-30T00:00:00"/>
        <d v="2023-10-21T00:00:00"/>
        <d v="2023-09-03T00:00:00"/>
        <d v="2023-03-02T00:00:00"/>
        <d v="2023-08-02T00:00:00"/>
        <d v="2023-04-17T00:00:00"/>
        <d v="2023-03-30T00:00:00"/>
        <d v="2023-05-28T00:00:00"/>
      </sharedItems>
      <fieldGroup par="9" base="1">
        <rangePr groupBy="months" startDate="2023-01-01T00:00:00" endDate="2024-01-02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1-2024"/>
        </groupItems>
      </fieldGroup>
    </cacheField>
    <cacheField name="Customer ID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/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/>
    </cacheField>
    <cacheField name="Years" numFmtId="0" databaseField="0">
      <fieldGroup base="1">
        <rangePr groupBy="years" startDate="2023-01-01T00:00:00" endDate="2024-01-02T00:00:00"/>
        <groupItems count="4">
          <s v="&lt;01-01-2023"/>
          <s v="2023"/>
          <s v="2024"/>
          <s v="&gt;02-0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1000">
  <r>
    <n v="1"/>
    <x v="0"/>
    <s v="CUST001"/>
    <s v="Male"/>
    <n v="34"/>
    <s v="Beauty"/>
    <n v="3"/>
    <n v="50"/>
    <n v="150"/>
  </r>
  <r>
    <n v="2"/>
    <x v="1"/>
    <s v="CUST002"/>
    <s v="Female"/>
    <n v="26"/>
    <s v="Clothing"/>
    <n v="2"/>
    <n v="500"/>
    <n v="1000"/>
  </r>
  <r>
    <n v="3"/>
    <x v="2"/>
    <s v="CUST003"/>
    <s v="Male"/>
    <n v="50"/>
    <s v="Electronics"/>
    <n v="1"/>
    <n v="30"/>
    <n v="30"/>
  </r>
  <r>
    <n v="4"/>
    <x v="3"/>
    <s v="CUST004"/>
    <s v="Male"/>
    <n v="37"/>
    <s v="Clothing"/>
    <n v="1"/>
    <n v="500"/>
    <n v="500"/>
  </r>
  <r>
    <n v="5"/>
    <x v="4"/>
    <s v="CUST005"/>
    <s v="Male"/>
    <n v="30"/>
    <s v="Beauty"/>
    <n v="2"/>
    <n v="50"/>
    <n v="100"/>
  </r>
  <r>
    <n v="6"/>
    <x v="5"/>
    <s v="CUST006"/>
    <s v="Female"/>
    <n v="45"/>
    <s v="Beauty"/>
    <n v="1"/>
    <n v="30"/>
    <n v="30"/>
  </r>
  <r>
    <n v="7"/>
    <x v="6"/>
    <s v="CUST007"/>
    <s v="Male"/>
    <n v="46"/>
    <s v="Clothing"/>
    <n v="2"/>
    <n v="25"/>
    <n v="50"/>
  </r>
  <r>
    <n v="8"/>
    <x v="7"/>
    <s v="CUST008"/>
    <s v="Male"/>
    <n v="30"/>
    <s v="Electronics"/>
    <n v="4"/>
    <n v="25"/>
    <n v="100"/>
  </r>
  <r>
    <n v="9"/>
    <x v="8"/>
    <s v="CUST009"/>
    <s v="Male"/>
    <n v="63"/>
    <s v="Electronics"/>
    <n v="2"/>
    <n v="300"/>
    <n v="600"/>
  </r>
  <r>
    <n v="10"/>
    <x v="9"/>
    <s v="CUST010"/>
    <s v="Female"/>
    <n v="52"/>
    <s v="Clothing"/>
    <n v="4"/>
    <n v="50"/>
    <n v="200"/>
  </r>
  <r>
    <n v="11"/>
    <x v="10"/>
    <s v="CUST011"/>
    <s v="Male"/>
    <n v="23"/>
    <s v="Clothing"/>
    <n v="2"/>
    <n v="50"/>
    <n v="100"/>
  </r>
  <r>
    <n v="12"/>
    <x v="11"/>
    <s v="CUST012"/>
    <s v="Male"/>
    <n v="35"/>
    <s v="Beauty"/>
    <n v="3"/>
    <n v="25"/>
    <n v="75"/>
  </r>
  <r>
    <n v="13"/>
    <x v="12"/>
    <s v="CUST013"/>
    <s v="Male"/>
    <n v="22"/>
    <s v="Electronics"/>
    <n v="3"/>
    <n v="500"/>
    <n v="1500"/>
  </r>
  <r>
    <n v="14"/>
    <x v="13"/>
    <s v="CUST014"/>
    <s v="Male"/>
    <n v="64"/>
    <s v="Clothing"/>
    <n v="4"/>
    <n v="30"/>
    <n v="120"/>
  </r>
  <r>
    <n v="15"/>
    <x v="14"/>
    <s v="CUST015"/>
    <s v="Female"/>
    <n v="42"/>
    <s v="Electronics"/>
    <n v="4"/>
    <n v="500"/>
    <n v="2000"/>
  </r>
  <r>
    <n v="16"/>
    <x v="15"/>
    <s v="CUST016"/>
    <s v="Male"/>
    <n v="19"/>
    <s v="Clothing"/>
    <n v="3"/>
    <n v="500"/>
    <n v="1500"/>
  </r>
  <r>
    <n v="17"/>
    <x v="16"/>
    <s v="CUST017"/>
    <s v="Female"/>
    <n v="27"/>
    <s v="Clothing"/>
    <n v="4"/>
    <n v="25"/>
    <n v="100"/>
  </r>
  <r>
    <n v="18"/>
    <x v="17"/>
    <s v="CUST018"/>
    <s v="Female"/>
    <n v="47"/>
    <s v="Electronics"/>
    <n v="2"/>
    <n v="25"/>
    <n v="50"/>
  </r>
  <r>
    <n v="19"/>
    <x v="18"/>
    <s v="CUST019"/>
    <s v="Female"/>
    <n v="62"/>
    <s v="Clothing"/>
    <n v="2"/>
    <n v="25"/>
    <n v="50"/>
  </r>
  <r>
    <n v="20"/>
    <x v="19"/>
    <s v="CUST020"/>
    <s v="Male"/>
    <n v="22"/>
    <s v="Clothing"/>
    <n v="3"/>
    <n v="300"/>
    <n v="900"/>
  </r>
  <r>
    <n v="21"/>
    <x v="20"/>
    <s v="CUST021"/>
    <s v="Female"/>
    <n v="50"/>
    <s v="Beauty"/>
    <n v="1"/>
    <n v="500"/>
    <n v="500"/>
  </r>
  <r>
    <n v="22"/>
    <x v="21"/>
    <s v="CUST022"/>
    <s v="Male"/>
    <n v="18"/>
    <s v="Clothing"/>
    <n v="2"/>
    <n v="50"/>
    <n v="100"/>
  </r>
  <r>
    <n v="23"/>
    <x v="22"/>
    <s v="CUST023"/>
    <s v="Female"/>
    <n v="35"/>
    <s v="Clothing"/>
    <n v="4"/>
    <n v="30"/>
    <n v="120"/>
  </r>
  <r>
    <n v="24"/>
    <x v="23"/>
    <s v="CUST024"/>
    <s v="Female"/>
    <n v="49"/>
    <s v="Clothing"/>
    <n v="1"/>
    <n v="300"/>
    <n v="300"/>
  </r>
  <r>
    <n v="25"/>
    <x v="24"/>
    <s v="CUST025"/>
    <s v="Female"/>
    <n v="64"/>
    <s v="Beauty"/>
    <n v="1"/>
    <n v="50"/>
    <n v="50"/>
  </r>
  <r>
    <n v="26"/>
    <x v="9"/>
    <s v="CUST026"/>
    <s v="Female"/>
    <n v="28"/>
    <s v="Electronics"/>
    <n v="2"/>
    <n v="500"/>
    <n v="1000"/>
  </r>
  <r>
    <n v="27"/>
    <x v="25"/>
    <s v="CUST027"/>
    <s v="Female"/>
    <n v="38"/>
    <s v="Beauty"/>
    <n v="2"/>
    <n v="25"/>
    <n v="50"/>
  </r>
  <r>
    <n v="28"/>
    <x v="26"/>
    <s v="CUST028"/>
    <s v="Female"/>
    <n v="43"/>
    <s v="Beauty"/>
    <n v="1"/>
    <n v="500"/>
    <n v="500"/>
  </r>
  <r>
    <n v="29"/>
    <x v="27"/>
    <s v="CUST029"/>
    <s v="Female"/>
    <n v="42"/>
    <s v="Electronics"/>
    <n v="1"/>
    <n v="30"/>
    <n v="30"/>
  </r>
  <r>
    <n v="30"/>
    <x v="28"/>
    <s v="CUST030"/>
    <s v="Female"/>
    <n v="39"/>
    <s v="Beauty"/>
    <n v="3"/>
    <n v="300"/>
    <n v="900"/>
  </r>
  <r>
    <n v="31"/>
    <x v="29"/>
    <s v="CUST031"/>
    <s v="Male"/>
    <n v="44"/>
    <s v="Electronics"/>
    <n v="4"/>
    <n v="300"/>
    <n v="1200"/>
  </r>
  <r>
    <n v="32"/>
    <x v="30"/>
    <s v="CUST032"/>
    <s v="Male"/>
    <n v="30"/>
    <s v="Beauty"/>
    <n v="3"/>
    <n v="30"/>
    <n v="90"/>
  </r>
  <r>
    <n v="33"/>
    <x v="31"/>
    <s v="CUST033"/>
    <s v="Female"/>
    <n v="50"/>
    <s v="Electronics"/>
    <n v="2"/>
    <n v="50"/>
    <n v="100"/>
  </r>
  <r>
    <n v="34"/>
    <x v="32"/>
    <s v="CUST034"/>
    <s v="Female"/>
    <n v="51"/>
    <s v="Clothing"/>
    <n v="3"/>
    <n v="50"/>
    <n v="150"/>
  </r>
  <r>
    <n v="35"/>
    <x v="12"/>
    <s v="CUST035"/>
    <s v="Female"/>
    <n v="58"/>
    <s v="Beauty"/>
    <n v="3"/>
    <n v="300"/>
    <n v="900"/>
  </r>
  <r>
    <n v="36"/>
    <x v="33"/>
    <s v="CUST036"/>
    <s v="Male"/>
    <n v="52"/>
    <s v="Beauty"/>
    <n v="3"/>
    <n v="300"/>
    <n v="900"/>
  </r>
  <r>
    <n v="37"/>
    <x v="29"/>
    <s v="CUST037"/>
    <s v="Female"/>
    <n v="18"/>
    <s v="Beauty"/>
    <n v="3"/>
    <n v="25"/>
    <n v="75"/>
  </r>
  <r>
    <n v="38"/>
    <x v="34"/>
    <s v="CUST038"/>
    <s v="Male"/>
    <n v="38"/>
    <s v="Beauty"/>
    <n v="4"/>
    <n v="50"/>
    <n v="200"/>
  </r>
  <r>
    <n v="39"/>
    <x v="35"/>
    <s v="CUST039"/>
    <s v="Male"/>
    <n v="23"/>
    <s v="Clothing"/>
    <n v="4"/>
    <n v="30"/>
    <n v="120"/>
  </r>
  <r>
    <n v="40"/>
    <x v="36"/>
    <s v="CUST040"/>
    <s v="Male"/>
    <n v="45"/>
    <s v="Beauty"/>
    <n v="1"/>
    <n v="50"/>
    <n v="50"/>
  </r>
  <r>
    <n v="41"/>
    <x v="7"/>
    <s v="CUST041"/>
    <s v="Male"/>
    <n v="34"/>
    <s v="Clothing"/>
    <n v="2"/>
    <n v="25"/>
    <n v="50"/>
  </r>
  <r>
    <n v="42"/>
    <x v="15"/>
    <s v="CUST042"/>
    <s v="Male"/>
    <n v="22"/>
    <s v="Clothing"/>
    <n v="3"/>
    <n v="300"/>
    <n v="900"/>
  </r>
  <r>
    <n v="43"/>
    <x v="37"/>
    <s v="CUST043"/>
    <s v="Female"/>
    <n v="48"/>
    <s v="Clothing"/>
    <n v="1"/>
    <n v="300"/>
    <n v="300"/>
  </r>
  <r>
    <n v="44"/>
    <x v="38"/>
    <s v="CUST044"/>
    <s v="Female"/>
    <n v="22"/>
    <s v="Clothing"/>
    <n v="1"/>
    <n v="25"/>
    <n v="25"/>
  </r>
  <r>
    <n v="45"/>
    <x v="39"/>
    <s v="CUST045"/>
    <s v="Female"/>
    <n v="55"/>
    <s v="Electronics"/>
    <n v="1"/>
    <n v="30"/>
    <n v="30"/>
  </r>
  <r>
    <n v="46"/>
    <x v="40"/>
    <s v="CUST046"/>
    <s v="Female"/>
    <n v="20"/>
    <s v="Electronics"/>
    <n v="4"/>
    <n v="300"/>
    <n v="1200"/>
  </r>
  <r>
    <n v="47"/>
    <x v="41"/>
    <s v="CUST047"/>
    <s v="Female"/>
    <n v="40"/>
    <s v="Beauty"/>
    <n v="3"/>
    <n v="500"/>
    <n v="1500"/>
  </r>
  <r>
    <n v="48"/>
    <x v="42"/>
    <s v="CUST048"/>
    <s v="Male"/>
    <n v="54"/>
    <s v="Electronics"/>
    <n v="3"/>
    <n v="300"/>
    <n v="900"/>
  </r>
  <r>
    <n v="49"/>
    <x v="43"/>
    <s v="CUST049"/>
    <s v="Female"/>
    <n v="54"/>
    <s v="Electronics"/>
    <n v="2"/>
    <n v="500"/>
    <n v="1000"/>
  </r>
  <r>
    <n v="50"/>
    <x v="44"/>
    <s v="CUST050"/>
    <s v="Female"/>
    <n v="27"/>
    <s v="Beauty"/>
    <n v="3"/>
    <n v="25"/>
    <n v="75"/>
  </r>
  <r>
    <n v="51"/>
    <x v="45"/>
    <s v="CUST051"/>
    <s v="Male"/>
    <n v="27"/>
    <s v="Beauty"/>
    <n v="3"/>
    <n v="25"/>
    <n v="75"/>
  </r>
  <r>
    <n v="52"/>
    <x v="46"/>
    <s v="CUST052"/>
    <s v="Female"/>
    <n v="36"/>
    <s v="Beauty"/>
    <n v="1"/>
    <n v="300"/>
    <n v="300"/>
  </r>
  <r>
    <n v="53"/>
    <x v="47"/>
    <s v="CUST053"/>
    <s v="Male"/>
    <n v="34"/>
    <s v="Electronics"/>
    <n v="2"/>
    <n v="50"/>
    <n v="100"/>
  </r>
  <r>
    <n v="54"/>
    <x v="48"/>
    <s v="CUST054"/>
    <s v="Female"/>
    <n v="38"/>
    <s v="Electronics"/>
    <n v="3"/>
    <n v="500"/>
    <n v="1500"/>
  </r>
  <r>
    <n v="55"/>
    <x v="49"/>
    <s v="CUST055"/>
    <s v="Male"/>
    <n v="31"/>
    <s v="Beauty"/>
    <n v="4"/>
    <n v="30"/>
    <n v="120"/>
  </r>
  <r>
    <n v="56"/>
    <x v="50"/>
    <s v="CUST056"/>
    <s v="Female"/>
    <n v="26"/>
    <s v="Clothing"/>
    <n v="3"/>
    <n v="300"/>
    <n v="900"/>
  </r>
  <r>
    <n v="57"/>
    <x v="51"/>
    <s v="CUST057"/>
    <s v="Female"/>
    <n v="63"/>
    <s v="Beauty"/>
    <n v="1"/>
    <n v="30"/>
    <n v="30"/>
  </r>
  <r>
    <n v="58"/>
    <x v="52"/>
    <s v="CUST058"/>
    <s v="Male"/>
    <n v="18"/>
    <s v="Clothing"/>
    <n v="4"/>
    <n v="300"/>
    <n v="1200"/>
  </r>
  <r>
    <n v="59"/>
    <x v="53"/>
    <s v="CUST059"/>
    <s v="Male"/>
    <n v="62"/>
    <s v="Clothing"/>
    <n v="1"/>
    <n v="50"/>
    <n v="50"/>
  </r>
  <r>
    <n v="60"/>
    <x v="54"/>
    <s v="CUST060"/>
    <s v="Male"/>
    <n v="30"/>
    <s v="Beauty"/>
    <n v="3"/>
    <n v="50"/>
    <n v="150"/>
  </r>
  <r>
    <n v="61"/>
    <x v="55"/>
    <s v="CUST061"/>
    <s v="Male"/>
    <n v="21"/>
    <s v="Beauty"/>
    <n v="4"/>
    <n v="50"/>
    <n v="200"/>
  </r>
  <r>
    <n v="62"/>
    <x v="56"/>
    <s v="CUST062"/>
    <s v="Male"/>
    <n v="18"/>
    <s v="Beauty"/>
    <n v="2"/>
    <n v="50"/>
    <n v="100"/>
  </r>
  <r>
    <n v="63"/>
    <x v="57"/>
    <s v="CUST063"/>
    <s v="Male"/>
    <n v="57"/>
    <s v="Electronics"/>
    <n v="2"/>
    <n v="25"/>
    <n v="50"/>
  </r>
  <r>
    <n v="64"/>
    <x v="58"/>
    <s v="CUST064"/>
    <s v="Male"/>
    <n v="49"/>
    <s v="Clothing"/>
    <n v="4"/>
    <n v="25"/>
    <n v="100"/>
  </r>
  <r>
    <n v="65"/>
    <x v="59"/>
    <s v="CUST065"/>
    <s v="Male"/>
    <n v="51"/>
    <s v="Electronics"/>
    <n v="4"/>
    <n v="500"/>
    <n v="2000"/>
  </r>
  <r>
    <n v="66"/>
    <x v="60"/>
    <s v="CUST066"/>
    <s v="Female"/>
    <n v="45"/>
    <s v="Electronics"/>
    <n v="1"/>
    <n v="30"/>
    <n v="30"/>
  </r>
  <r>
    <n v="67"/>
    <x v="61"/>
    <s v="CUST067"/>
    <s v="Female"/>
    <n v="48"/>
    <s v="Beauty"/>
    <n v="4"/>
    <n v="300"/>
    <n v="1200"/>
  </r>
  <r>
    <n v="68"/>
    <x v="48"/>
    <s v="CUST068"/>
    <s v="Male"/>
    <n v="25"/>
    <s v="Electronics"/>
    <n v="1"/>
    <n v="300"/>
    <n v="300"/>
  </r>
  <r>
    <n v="69"/>
    <x v="17"/>
    <s v="CUST069"/>
    <s v="Female"/>
    <n v="56"/>
    <s v="Beauty"/>
    <n v="3"/>
    <n v="25"/>
    <n v="75"/>
  </r>
  <r>
    <n v="70"/>
    <x v="62"/>
    <s v="CUST070"/>
    <s v="Female"/>
    <n v="43"/>
    <s v="Clothing"/>
    <n v="1"/>
    <n v="300"/>
    <n v="300"/>
  </r>
  <r>
    <n v="71"/>
    <x v="37"/>
    <s v="CUST071"/>
    <s v="Female"/>
    <n v="51"/>
    <s v="Beauty"/>
    <n v="4"/>
    <n v="25"/>
    <n v="100"/>
  </r>
  <r>
    <n v="72"/>
    <x v="29"/>
    <s v="CUST072"/>
    <s v="Female"/>
    <n v="20"/>
    <s v="Electronics"/>
    <n v="4"/>
    <n v="500"/>
    <n v="2000"/>
  </r>
  <r>
    <n v="73"/>
    <x v="63"/>
    <s v="CUST073"/>
    <s v="Male"/>
    <n v="29"/>
    <s v="Electronics"/>
    <n v="3"/>
    <n v="30"/>
    <n v="90"/>
  </r>
  <r>
    <n v="74"/>
    <x v="64"/>
    <s v="CUST074"/>
    <s v="Female"/>
    <n v="18"/>
    <s v="Beauty"/>
    <n v="4"/>
    <n v="500"/>
    <n v="2000"/>
  </r>
  <r>
    <n v="75"/>
    <x v="65"/>
    <s v="CUST075"/>
    <s v="Male"/>
    <n v="61"/>
    <s v="Beauty"/>
    <n v="4"/>
    <n v="50"/>
    <n v="200"/>
  </r>
  <r>
    <n v="76"/>
    <x v="66"/>
    <s v="CUST076"/>
    <s v="Female"/>
    <n v="22"/>
    <s v="Electronics"/>
    <n v="2"/>
    <n v="50"/>
    <n v="100"/>
  </r>
  <r>
    <n v="77"/>
    <x v="67"/>
    <s v="CUST077"/>
    <s v="Female"/>
    <n v="47"/>
    <s v="Clothing"/>
    <n v="2"/>
    <n v="50"/>
    <n v="100"/>
  </r>
  <r>
    <n v="78"/>
    <x v="68"/>
    <s v="CUST078"/>
    <s v="Female"/>
    <n v="47"/>
    <s v="Clothing"/>
    <n v="3"/>
    <n v="500"/>
    <n v="1500"/>
  </r>
  <r>
    <n v="79"/>
    <x v="69"/>
    <s v="CUST079"/>
    <s v="Male"/>
    <n v="34"/>
    <s v="Beauty"/>
    <n v="1"/>
    <n v="300"/>
    <n v="300"/>
  </r>
  <r>
    <n v="80"/>
    <x v="70"/>
    <s v="CUST080"/>
    <s v="Female"/>
    <n v="64"/>
    <s v="Clothing"/>
    <n v="2"/>
    <n v="30"/>
    <n v="60"/>
  </r>
  <r>
    <n v="81"/>
    <x v="71"/>
    <s v="CUST081"/>
    <s v="Male"/>
    <n v="40"/>
    <s v="Electronics"/>
    <n v="1"/>
    <n v="50"/>
    <n v="50"/>
  </r>
  <r>
    <n v="82"/>
    <x v="24"/>
    <s v="CUST082"/>
    <s v="Female"/>
    <n v="32"/>
    <s v="Beauty"/>
    <n v="4"/>
    <n v="50"/>
    <n v="200"/>
  </r>
  <r>
    <n v="83"/>
    <x v="72"/>
    <s v="CUST083"/>
    <s v="Male"/>
    <n v="54"/>
    <s v="Electronics"/>
    <n v="2"/>
    <n v="50"/>
    <n v="100"/>
  </r>
  <r>
    <n v="84"/>
    <x v="73"/>
    <s v="CUST084"/>
    <s v="Female"/>
    <n v="38"/>
    <s v="Electronics"/>
    <n v="3"/>
    <n v="30"/>
    <n v="90"/>
  </r>
  <r>
    <n v="85"/>
    <x v="74"/>
    <s v="CUST085"/>
    <s v="Male"/>
    <n v="31"/>
    <s v="Clothing"/>
    <n v="3"/>
    <n v="50"/>
    <n v="150"/>
  </r>
  <r>
    <n v="86"/>
    <x v="75"/>
    <s v="CUST086"/>
    <s v="Male"/>
    <n v="19"/>
    <s v="Beauty"/>
    <n v="3"/>
    <n v="30"/>
    <n v="90"/>
  </r>
  <r>
    <n v="87"/>
    <x v="64"/>
    <s v="CUST087"/>
    <s v="Female"/>
    <n v="28"/>
    <s v="Beauty"/>
    <n v="2"/>
    <n v="50"/>
    <n v="100"/>
  </r>
  <r>
    <n v="88"/>
    <x v="76"/>
    <s v="CUST088"/>
    <s v="Male"/>
    <n v="56"/>
    <s v="Clothing"/>
    <n v="1"/>
    <n v="500"/>
    <n v="500"/>
  </r>
  <r>
    <n v="89"/>
    <x v="77"/>
    <s v="CUST089"/>
    <s v="Female"/>
    <n v="55"/>
    <s v="Electronics"/>
    <n v="4"/>
    <n v="500"/>
    <n v="2000"/>
  </r>
  <r>
    <n v="90"/>
    <x v="4"/>
    <s v="CUST090"/>
    <s v="Female"/>
    <n v="51"/>
    <s v="Electronics"/>
    <n v="1"/>
    <n v="30"/>
    <n v="30"/>
  </r>
  <r>
    <n v="91"/>
    <x v="66"/>
    <s v="CUST091"/>
    <s v="Female"/>
    <n v="55"/>
    <s v="Electronics"/>
    <n v="1"/>
    <n v="500"/>
    <n v="500"/>
  </r>
  <r>
    <n v="92"/>
    <x v="78"/>
    <s v="CUST092"/>
    <s v="Female"/>
    <n v="51"/>
    <s v="Electronics"/>
    <n v="4"/>
    <n v="30"/>
    <n v="120"/>
  </r>
  <r>
    <n v="93"/>
    <x v="37"/>
    <s v="CUST093"/>
    <s v="Female"/>
    <n v="35"/>
    <s v="Beauty"/>
    <n v="4"/>
    <n v="500"/>
    <n v="2000"/>
  </r>
  <r>
    <n v="94"/>
    <x v="79"/>
    <s v="CUST094"/>
    <s v="Female"/>
    <n v="47"/>
    <s v="Beauty"/>
    <n v="2"/>
    <n v="500"/>
    <n v="1000"/>
  </r>
  <r>
    <n v="95"/>
    <x v="0"/>
    <s v="CUST095"/>
    <s v="Female"/>
    <n v="32"/>
    <s v="Clothing"/>
    <n v="2"/>
    <n v="30"/>
    <n v="60"/>
  </r>
  <r>
    <n v="96"/>
    <x v="80"/>
    <s v="CUST096"/>
    <s v="Female"/>
    <n v="44"/>
    <s v="Clothing"/>
    <n v="2"/>
    <n v="300"/>
    <n v="600"/>
  </r>
  <r>
    <n v="97"/>
    <x v="81"/>
    <s v="CUST097"/>
    <s v="Female"/>
    <n v="51"/>
    <s v="Beauty"/>
    <n v="2"/>
    <n v="500"/>
    <n v="1000"/>
  </r>
  <r>
    <n v="98"/>
    <x v="26"/>
    <s v="CUST098"/>
    <s v="Female"/>
    <n v="55"/>
    <s v="Beauty"/>
    <n v="2"/>
    <n v="50"/>
    <n v="100"/>
  </r>
  <r>
    <n v="99"/>
    <x v="82"/>
    <s v="CUST099"/>
    <s v="Female"/>
    <n v="50"/>
    <s v="Electronics"/>
    <n v="4"/>
    <n v="300"/>
    <n v="1200"/>
  </r>
  <r>
    <n v="100"/>
    <x v="83"/>
    <s v="CUST100"/>
    <s v="Male"/>
    <n v="41"/>
    <s v="Electronics"/>
    <n v="1"/>
    <n v="30"/>
    <n v="30"/>
  </r>
  <r>
    <n v="101"/>
    <x v="84"/>
    <s v="CUST101"/>
    <s v="Male"/>
    <n v="32"/>
    <s v="Clothing"/>
    <n v="2"/>
    <n v="300"/>
    <n v="600"/>
  </r>
  <r>
    <n v="102"/>
    <x v="85"/>
    <s v="CUST102"/>
    <s v="Female"/>
    <n v="47"/>
    <s v="Beauty"/>
    <n v="2"/>
    <n v="25"/>
    <n v="50"/>
  </r>
  <r>
    <n v="103"/>
    <x v="13"/>
    <s v="CUST103"/>
    <s v="Female"/>
    <n v="59"/>
    <s v="Clothing"/>
    <n v="1"/>
    <n v="25"/>
    <n v="25"/>
  </r>
  <r>
    <n v="104"/>
    <x v="86"/>
    <s v="CUST104"/>
    <s v="Female"/>
    <n v="34"/>
    <s v="Beauty"/>
    <n v="2"/>
    <n v="500"/>
    <n v="1000"/>
  </r>
  <r>
    <n v="105"/>
    <x v="87"/>
    <s v="CUST105"/>
    <s v="Female"/>
    <n v="22"/>
    <s v="Electronics"/>
    <n v="1"/>
    <n v="500"/>
    <n v="500"/>
  </r>
  <r>
    <n v="106"/>
    <x v="88"/>
    <s v="CUST106"/>
    <s v="Female"/>
    <n v="46"/>
    <s v="Clothing"/>
    <n v="1"/>
    <n v="50"/>
    <n v="50"/>
  </r>
  <r>
    <n v="107"/>
    <x v="89"/>
    <s v="CUST107"/>
    <s v="Female"/>
    <n v="21"/>
    <s v="Clothing"/>
    <n v="4"/>
    <n v="300"/>
    <n v="1200"/>
  </r>
  <r>
    <n v="108"/>
    <x v="90"/>
    <s v="CUST108"/>
    <s v="Female"/>
    <n v="27"/>
    <s v="Beauty"/>
    <n v="3"/>
    <n v="25"/>
    <n v="75"/>
  </r>
  <r>
    <n v="109"/>
    <x v="91"/>
    <s v="CUST109"/>
    <s v="Female"/>
    <n v="34"/>
    <s v="Electronics"/>
    <n v="4"/>
    <n v="500"/>
    <n v="2000"/>
  </r>
  <r>
    <n v="110"/>
    <x v="86"/>
    <s v="CUST110"/>
    <s v="Male"/>
    <n v="27"/>
    <s v="Clothing"/>
    <n v="3"/>
    <n v="300"/>
    <n v="900"/>
  </r>
  <r>
    <n v="111"/>
    <x v="90"/>
    <s v="CUST111"/>
    <s v="Female"/>
    <n v="34"/>
    <s v="Electronics"/>
    <n v="3"/>
    <n v="500"/>
    <n v="1500"/>
  </r>
  <r>
    <n v="112"/>
    <x v="92"/>
    <s v="CUST112"/>
    <s v="Male"/>
    <n v="37"/>
    <s v="Clothing"/>
    <n v="3"/>
    <n v="500"/>
    <n v="1500"/>
  </r>
  <r>
    <n v="113"/>
    <x v="93"/>
    <s v="CUST113"/>
    <s v="Female"/>
    <n v="41"/>
    <s v="Electronics"/>
    <n v="2"/>
    <n v="25"/>
    <n v="50"/>
  </r>
  <r>
    <n v="114"/>
    <x v="94"/>
    <s v="CUST114"/>
    <s v="Female"/>
    <n v="22"/>
    <s v="Beauty"/>
    <n v="4"/>
    <n v="25"/>
    <n v="100"/>
  </r>
  <r>
    <n v="115"/>
    <x v="95"/>
    <s v="CUST115"/>
    <s v="Male"/>
    <n v="51"/>
    <s v="Clothing"/>
    <n v="3"/>
    <n v="500"/>
    <n v="1500"/>
  </r>
  <r>
    <n v="116"/>
    <x v="96"/>
    <s v="CUST116"/>
    <s v="Female"/>
    <n v="23"/>
    <s v="Clothing"/>
    <n v="1"/>
    <n v="30"/>
    <n v="30"/>
  </r>
  <r>
    <n v="117"/>
    <x v="97"/>
    <s v="CUST117"/>
    <s v="Male"/>
    <n v="19"/>
    <s v="Electronics"/>
    <n v="2"/>
    <n v="500"/>
    <n v="1000"/>
  </r>
  <r>
    <n v="118"/>
    <x v="42"/>
    <s v="CUST118"/>
    <s v="Female"/>
    <n v="30"/>
    <s v="Electronics"/>
    <n v="4"/>
    <n v="500"/>
    <n v="2000"/>
  </r>
  <r>
    <n v="119"/>
    <x v="6"/>
    <s v="CUST119"/>
    <s v="Female"/>
    <n v="60"/>
    <s v="Clothing"/>
    <n v="3"/>
    <n v="50"/>
    <n v="150"/>
  </r>
  <r>
    <n v="120"/>
    <x v="98"/>
    <s v="CUST120"/>
    <s v="Male"/>
    <n v="60"/>
    <s v="Beauty"/>
    <n v="1"/>
    <n v="50"/>
    <n v="50"/>
  </r>
  <r>
    <n v="121"/>
    <x v="21"/>
    <s v="CUST121"/>
    <s v="Female"/>
    <n v="28"/>
    <s v="Electronics"/>
    <n v="4"/>
    <n v="50"/>
    <n v="200"/>
  </r>
  <r>
    <n v="122"/>
    <x v="99"/>
    <s v="CUST122"/>
    <s v="Male"/>
    <n v="64"/>
    <s v="Electronics"/>
    <n v="4"/>
    <n v="30"/>
    <n v="120"/>
  </r>
  <r>
    <n v="123"/>
    <x v="100"/>
    <s v="CUST123"/>
    <s v="Female"/>
    <n v="40"/>
    <s v="Electronics"/>
    <n v="2"/>
    <n v="30"/>
    <n v="60"/>
  </r>
  <r>
    <n v="124"/>
    <x v="101"/>
    <s v="CUST124"/>
    <s v="Male"/>
    <n v="33"/>
    <s v="Clothing"/>
    <n v="4"/>
    <n v="500"/>
    <n v="2000"/>
  </r>
  <r>
    <n v="125"/>
    <x v="102"/>
    <s v="CUST125"/>
    <s v="Male"/>
    <n v="48"/>
    <s v="Clothing"/>
    <n v="2"/>
    <n v="50"/>
    <n v="100"/>
  </r>
  <r>
    <n v="126"/>
    <x v="103"/>
    <s v="CUST126"/>
    <s v="Female"/>
    <n v="28"/>
    <s v="Clothing"/>
    <n v="3"/>
    <n v="30"/>
    <n v="90"/>
  </r>
  <r>
    <n v="127"/>
    <x v="104"/>
    <s v="CUST127"/>
    <s v="Female"/>
    <n v="33"/>
    <s v="Clothing"/>
    <n v="2"/>
    <n v="25"/>
    <n v="50"/>
  </r>
  <r>
    <n v="128"/>
    <x v="53"/>
    <s v="CUST128"/>
    <s v="Male"/>
    <n v="25"/>
    <s v="Beauty"/>
    <n v="1"/>
    <n v="500"/>
    <n v="500"/>
  </r>
  <r>
    <n v="129"/>
    <x v="26"/>
    <s v="CUST129"/>
    <s v="Female"/>
    <n v="21"/>
    <s v="Beauty"/>
    <n v="2"/>
    <n v="300"/>
    <n v="600"/>
  </r>
  <r>
    <n v="130"/>
    <x v="105"/>
    <s v="CUST130"/>
    <s v="Female"/>
    <n v="57"/>
    <s v="Clothing"/>
    <n v="1"/>
    <n v="500"/>
    <n v="500"/>
  </r>
  <r>
    <n v="131"/>
    <x v="106"/>
    <s v="CUST131"/>
    <s v="Female"/>
    <n v="21"/>
    <s v="Beauty"/>
    <n v="2"/>
    <n v="300"/>
    <n v="600"/>
  </r>
  <r>
    <n v="132"/>
    <x v="107"/>
    <s v="CUST132"/>
    <s v="Male"/>
    <n v="42"/>
    <s v="Electronics"/>
    <n v="4"/>
    <n v="50"/>
    <n v="200"/>
  </r>
  <r>
    <n v="133"/>
    <x v="108"/>
    <s v="CUST133"/>
    <s v="Male"/>
    <n v="20"/>
    <s v="Electronics"/>
    <n v="3"/>
    <n v="300"/>
    <n v="900"/>
  </r>
  <r>
    <n v="134"/>
    <x v="109"/>
    <s v="CUST134"/>
    <s v="Male"/>
    <n v="49"/>
    <s v="Electronics"/>
    <n v="1"/>
    <n v="50"/>
    <n v="50"/>
  </r>
  <r>
    <n v="135"/>
    <x v="110"/>
    <s v="CUST135"/>
    <s v="Male"/>
    <n v="20"/>
    <s v="Clothing"/>
    <n v="2"/>
    <n v="25"/>
    <n v="50"/>
  </r>
  <r>
    <n v="136"/>
    <x v="111"/>
    <s v="CUST136"/>
    <s v="Male"/>
    <n v="44"/>
    <s v="Electronics"/>
    <n v="2"/>
    <n v="300"/>
    <n v="600"/>
  </r>
  <r>
    <n v="137"/>
    <x v="51"/>
    <s v="CUST137"/>
    <s v="Male"/>
    <n v="46"/>
    <s v="Beauty"/>
    <n v="2"/>
    <n v="500"/>
    <n v="1000"/>
  </r>
  <r>
    <n v="138"/>
    <x v="31"/>
    <s v="CUST138"/>
    <s v="Male"/>
    <n v="49"/>
    <s v="Clothing"/>
    <n v="4"/>
    <n v="50"/>
    <n v="200"/>
  </r>
  <r>
    <n v="139"/>
    <x v="112"/>
    <s v="CUST139"/>
    <s v="Male"/>
    <n v="36"/>
    <s v="Beauty"/>
    <n v="4"/>
    <n v="500"/>
    <n v="2000"/>
  </r>
  <r>
    <n v="140"/>
    <x v="12"/>
    <s v="CUST140"/>
    <s v="Male"/>
    <n v="38"/>
    <s v="Electronics"/>
    <n v="1"/>
    <n v="30"/>
    <n v="30"/>
  </r>
  <r>
    <n v="141"/>
    <x v="113"/>
    <s v="CUST141"/>
    <s v="Female"/>
    <n v="22"/>
    <s v="Electronics"/>
    <n v="1"/>
    <n v="50"/>
    <n v="50"/>
  </r>
  <r>
    <n v="142"/>
    <x v="114"/>
    <s v="CUST142"/>
    <s v="Male"/>
    <n v="35"/>
    <s v="Electronics"/>
    <n v="4"/>
    <n v="300"/>
    <n v="1200"/>
  </r>
  <r>
    <n v="143"/>
    <x v="115"/>
    <s v="CUST143"/>
    <s v="Female"/>
    <n v="45"/>
    <s v="Clothing"/>
    <n v="1"/>
    <n v="50"/>
    <n v="50"/>
  </r>
  <r>
    <n v="144"/>
    <x v="116"/>
    <s v="CUST144"/>
    <s v="Female"/>
    <n v="59"/>
    <s v="Beauty"/>
    <n v="3"/>
    <n v="500"/>
    <n v="1500"/>
  </r>
  <r>
    <n v="145"/>
    <x v="113"/>
    <s v="CUST145"/>
    <s v="Female"/>
    <n v="39"/>
    <s v="Clothing"/>
    <n v="3"/>
    <n v="25"/>
    <n v="75"/>
  </r>
  <r>
    <n v="146"/>
    <x v="117"/>
    <s v="CUST146"/>
    <s v="Male"/>
    <n v="38"/>
    <s v="Clothing"/>
    <n v="4"/>
    <n v="50"/>
    <n v="200"/>
  </r>
  <r>
    <n v="147"/>
    <x v="118"/>
    <s v="CUST147"/>
    <s v="Male"/>
    <n v="23"/>
    <s v="Electronics"/>
    <n v="1"/>
    <n v="300"/>
    <n v="300"/>
  </r>
  <r>
    <n v="148"/>
    <x v="119"/>
    <s v="CUST148"/>
    <s v="Male"/>
    <n v="18"/>
    <s v="Clothing"/>
    <n v="2"/>
    <n v="30"/>
    <n v="60"/>
  </r>
  <r>
    <n v="149"/>
    <x v="120"/>
    <s v="CUST149"/>
    <s v="Male"/>
    <n v="22"/>
    <s v="Clothing"/>
    <n v="3"/>
    <n v="25"/>
    <n v="75"/>
  </r>
  <r>
    <n v="150"/>
    <x v="121"/>
    <s v="CUST150"/>
    <s v="Female"/>
    <n v="58"/>
    <s v="Electronics"/>
    <n v="4"/>
    <n v="30"/>
    <n v="120"/>
  </r>
  <r>
    <n v="151"/>
    <x v="112"/>
    <s v="CUST151"/>
    <s v="Male"/>
    <n v="29"/>
    <s v="Clothing"/>
    <n v="1"/>
    <n v="50"/>
    <n v="50"/>
  </r>
  <r>
    <n v="152"/>
    <x v="122"/>
    <s v="CUST152"/>
    <s v="Male"/>
    <n v="43"/>
    <s v="Electronics"/>
    <n v="4"/>
    <n v="500"/>
    <n v="2000"/>
  </r>
  <r>
    <n v="153"/>
    <x v="72"/>
    <s v="CUST153"/>
    <s v="Male"/>
    <n v="63"/>
    <s v="Electronics"/>
    <n v="2"/>
    <n v="500"/>
    <n v="1000"/>
  </r>
  <r>
    <n v="154"/>
    <x v="45"/>
    <s v="CUST154"/>
    <s v="Male"/>
    <n v="51"/>
    <s v="Electronics"/>
    <n v="3"/>
    <n v="300"/>
    <n v="900"/>
  </r>
  <r>
    <n v="155"/>
    <x v="71"/>
    <s v="CUST155"/>
    <s v="Male"/>
    <n v="31"/>
    <s v="Electronics"/>
    <n v="4"/>
    <n v="500"/>
    <n v="2000"/>
  </r>
  <r>
    <n v="156"/>
    <x v="123"/>
    <s v="CUST156"/>
    <s v="Female"/>
    <n v="43"/>
    <s v="Clothing"/>
    <n v="4"/>
    <n v="25"/>
    <n v="100"/>
  </r>
  <r>
    <n v="157"/>
    <x v="33"/>
    <s v="CUST157"/>
    <s v="Male"/>
    <n v="62"/>
    <s v="Electronics"/>
    <n v="4"/>
    <n v="500"/>
    <n v="2000"/>
  </r>
  <r>
    <n v="158"/>
    <x v="1"/>
    <s v="CUST158"/>
    <s v="Female"/>
    <n v="44"/>
    <s v="Electronics"/>
    <n v="2"/>
    <n v="300"/>
    <n v="600"/>
  </r>
  <r>
    <n v="159"/>
    <x v="50"/>
    <s v="CUST159"/>
    <s v="Male"/>
    <n v="26"/>
    <s v="Clothing"/>
    <n v="4"/>
    <n v="50"/>
    <n v="200"/>
  </r>
  <r>
    <n v="160"/>
    <x v="124"/>
    <s v="CUST160"/>
    <s v="Female"/>
    <n v="43"/>
    <s v="Clothing"/>
    <n v="2"/>
    <n v="50"/>
    <n v="100"/>
  </r>
  <r>
    <n v="161"/>
    <x v="125"/>
    <s v="CUST161"/>
    <s v="Male"/>
    <n v="64"/>
    <s v="Beauty"/>
    <n v="2"/>
    <n v="500"/>
    <n v="1000"/>
  </r>
  <r>
    <n v="162"/>
    <x v="63"/>
    <s v="CUST162"/>
    <s v="Male"/>
    <n v="39"/>
    <s v="Clothing"/>
    <n v="2"/>
    <n v="30"/>
    <n v="60"/>
  </r>
  <r>
    <n v="163"/>
    <x v="126"/>
    <s v="CUST163"/>
    <s v="Female"/>
    <n v="64"/>
    <s v="Clothing"/>
    <n v="3"/>
    <n v="50"/>
    <n v="150"/>
  </r>
  <r>
    <n v="164"/>
    <x v="100"/>
    <s v="CUST164"/>
    <s v="Female"/>
    <n v="47"/>
    <s v="Beauty"/>
    <n v="3"/>
    <n v="500"/>
    <n v="1500"/>
  </r>
  <r>
    <n v="165"/>
    <x v="127"/>
    <s v="CUST165"/>
    <s v="Female"/>
    <n v="60"/>
    <s v="Clothing"/>
    <n v="4"/>
    <n v="300"/>
    <n v="1200"/>
  </r>
  <r>
    <n v="166"/>
    <x v="128"/>
    <s v="CUST166"/>
    <s v="Male"/>
    <n v="34"/>
    <s v="Clothing"/>
    <n v="4"/>
    <n v="500"/>
    <n v="2000"/>
  </r>
  <r>
    <n v="167"/>
    <x v="129"/>
    <s v="CUST167"/>
    <s v="Female"/>
    <n v="43"/>
    <s v="Clothing"/>
    <n v="3"/>
    <n v="50"/>
    <n v="150"/>
  </r>
  <r>
    <n v="168"/>
    <x v="130"/>
    <s v="CUST168"/>
    <s v="Male"/>
    <n v="53"/>
    <s v="Clothing"/>
    <n v="1"/>
    <n v="300"/>
    <n v="300"/>
  </r>
  <r>
    <n v="169"/>
    <x v="131"/>
    <s v="CUST169"/>
    <s v="Male"/>
    <n v="18"/>
    <s v="Beauty"/>
    <n v="3"/>
    <n v="500"/>
    <n v="1500"/>
  </r>
  <r>
    <n v="170"/>
    <x v="132"/>
    <s v="CUST170"/>
    <s v="Female"/>
    <n v="25"/>
    <s v="Clothing"/>
    <n v="2"/>
    <n v="25"/>
    <n v="50"/>
  </r>
  <r>
    <n v="171"/>
    <x v="0"/>
    <s v="CUST171"/>
    <s v="Female"/>
    <n v="52"/>
    <s v="Clothing"/>
    <n v="3"/>
    <n v="300"/>
    <n v="900"/>
  </r>
  <r>
    <n v="172"/>
    <x v="129"/>
    <s v="CUST172"/>
    <s v="Male"/>
    <n v="32"/>
    <s v="Beauty"/>
    <n v="2"/>
    <n v="25"/>
    <n v="50"/>
  </r>
  <r>
    <n v="173"/>
    <x v="75"/>
    <s v="CUST173"/>
    <s v="Male"/>
    <n v="64"/>
    <s v="Electronics"/>
    <n v="4"/>
    <n v="30"/>
    <n v="120"/>
  </r>
  <r>
    <n v="174"/>
    <x v="22"/>
    <s v="CUST174"/>
    <s v="Female"/>
    <n v="39"/>
    <s v="Beauty"/>
    <n v="1"/>
    <n v="300"/>
    <n v="300"/>
  </r>
  <r>
    <n v="175"/>
    <x v="111"/>
    <s v="CUST175"/>
    <s v="Female"/>
    <n v="31"/>
    <s v="Electronics"/>
    <n v="4"/>
    <n v="25"/>
    <n v="100"/>
  </r>
  <r>
    <n v="176"/>
    <x v="133"/>
    <s v="CUST176"/>
    <s v="Female"/>
    <n v="43"/>
    <s v="Beauty"/>
    <n v="2"/>
    <n v="50"/>
    <n v="100"/>
  </r>
  <r>
    <n v="177"/>
    <x v="134"/>
    <s v="CUST177"/>
    <s v="Male"/>
    <n v="45"/>
    <s v="Beauty"/>
    <n v="2"/>
    <n v="50"/>
    <n v="100"/>
  </r>
  <r>
    <n v="178"/>
    <x v="135"/>
    <s v="CUST178"/>
    <s v="Male"/>
    <n v="40"/>
    <s v="Clothing"/>
    <n v="2"/>
    <n v="30"/>
    <n v="60"/>
  </r>
  <r>
    <n v="179"/>
    <x v="136"/>
    <s v="CUST179"/>
    <s v="Male"/>
    <n v="31"/>
    <s v="Electronics"/>
    <n v="1"/>
    <n v="300"/>
    <n v="300"/>
  </r>
  <r>
    <n v="180"/>
    <x v="137"/>
    <s v="CUST180"/>
    <s v="Male"/>
    <n v="41"/>
    <s v="Clothing"/>
    <n v="3"/>
    <n v="300"/>
    <n v="900"/>
  </r>
  <r>
    <n v="181"/>
    <x v="138"/>
    <s v="CUST181"/>
    <s v="Male"/>
    <n v="19"/>
    <s v="Electronics"/>
    <n v="4"/>
    <n v="300"/>
    <n v="1200"/>
  </r>
  <r>
    <n v="182"/>
    <x v="139"/>
    <s v="CUST182"/>
    <s v="Male"/>
    <n v="62"/>
    <s v="Beauty"/>
    <n v="4"/>
    <n v="30"/>
    <n v="120"/>
  </r>
  <r>
    <n v="183"/>
    <x v="140"/>
    <s v="CUST183"/>
    <s v="Female"/>
    <n v="43"/>
    <s v="Beauty"/>
    <n v="3"/>
    <n v="300"/>
    <n v="900"/>
  </r>
  <r>
    <n v="184"/>
    <x v="141"/>
    <s v="CUST184"/>
    <s v="Male"/>
    <n v="31"/>
    <s v="Electronics"/>
    <n v="4"/>
    <n v="50"/>
    <n v="200"/>
  </r>
  <r>
    <n v="185"/>
    <x v="1"/>
    <s v="CUST185"/>
    <s v="Male"/>
    <n v="24"/>
    <s v="Clothing"/>
    <n v="1"/>
    <n v="25"/>
    <n v="25"/>
  </r>
  <r>
    <n v="186"/>
    <x v="53"/>
    <s v="CUST186"/>
    <s v="Male"/>
    <n v="20"/>
    <s v="Clothing"/>
    <n v="4"/>
    <n v="50"/>
    <n v="200"/>
  </r>
  <r>
    <n v="187"/>
    <x v="142"/>
    <s v="CUST187"/>
    <s v="Female"/>
    <n v="64"/>
    <s v="Clothing"/>
    <n v="2"/>
    <n v="50"/>
    <n v="100"/>
  </r>
  <r>
    <n v="188"/>
    <x v="143"/>
    <s v="CUST188"/>
    <s v="Male"/>
    <n v="40"/>
    <s v="Clothing"/>
    <n v="3"/>
    <n v="25"/>
    <n v="75"/>
  </r>
  <r>
    <n v="189"/>
    <x v="144"/>
    <s v="CUST189"/>
    <s v="Male"/>
    <n v="63"/>
    <s v="Beauty"/>
    <n v="1"/>
    <n v="50"/>
    <n v="50"/>
  </r>
  <r>
    <n v="190"/>
    <x v="145"/>
    <s v="CUST190"/>
    <s v="Female"/>
    <n v="60"/>
    <s v="Beauty"/>
    <n v="3"/>
    <n v="30"/>
    <n v="90"/>
  </r>
  <r>
    <n v="191"/>
    <x v="91"/>
    <s v="CUST191"/>
    <s v="Male"/>
    <n v="64"/>
    <s v="Beauty"/>
    <n v="1"/>
    <n v="25"/>
    <n v="25"/>
  </r>
  <r>
    <n v="192"/>
    <x v="48"/>
    <s v="CUST192"/>
    <s v="Male"/>
    <n v="62"/>
    <s v="Beauty"/>
    <n v="2"/>
    <n v="50"/>
    <n v="100"/>
  </r>
  <r>
    <n v="193"/>
    <x v="146"/>
    <s v="CUST193"/>
    <s v="Male"/>
    <n v="35"/>
    <s v="Beauty"/>
    <n v="3"/>
    <n v="500"/>
    <n v="1500"/>
  </r>
  <r>
    <n v="194"/>
    <x v="147"/>
    <s v="CUST194"/>
    <s v="Male"/>
    <n v="55"/>
    <s v="Clothing"/>
    <n v="4"/>
    <n v="50"/>
    <n v="200"/>
  </r>
  <r>
    <n v="195"/>
    <x v="57"/>
    <s v="CUST195"/>
    <s v="Male"/>
    <n v="52"/>
    <s v="Clothing"/>
    <n v="1"/>
    <n v="30"/>
    <n v="30"/>
  </r>
  <r>
    <n v="196"/>
    <x v="148"/>
    <s v="CUST196"/>
    <s v="Female"/>
    <n v="32"/>
    <s v="Clothing"/>
    <n v="3"/>
    <n v="300"/>
    <n v="900"/>
  </r>
  <r>
    <n v="197"/>
    <x v="149"/>
    <s v="CUST197"/>
    <s v="Female"/>
    <n v="42"/>
    <s v="Clothing"/>
    <n v="4"/>
    <n v="50"/>
    <n v="200"/>
  </r>
  <r>
    <n v="198"/>
    <x v="150"/>
    <s v="CUST198"/>
    <s v="Female"/>
    <n v="54"/>
    <s v="Beauty"/>
    <n v="3"/>
    <n v="300"/>
    <n v="900"/>
  </r>
  <r>
    <n v="199"/>
    <x v="151"/>
    <s v="CUST199"/>
    <s v="Male"/>
    <n v="45"/>
    <s v="Beauty"/>
    <n v="3"/>
    <n v="500"/>
    <n v="1500"/>
  </r>
  <r>
    <n v="200"/>
    <x v="152"/>
    <s v="CUST200"/>
    <s v="Male"/>
    <n v="27"/>
    <s v="Beauty"/>
    <n v="3"/>
    <n v="50"/>
    <n v="150"/>
  </r>
  <r>
    <n v="201"/>
    <x v="153"/>
    <s v="CUST201"/>
    <s v="Male"/>
    <n v="56"/>
    <s v="Electronics"/>
    <n v="1"/>
    <n v="25"/>
    <n v="25"/>
  </r>
  <r>
    <n v="202"/>
    <x v="154"/>
    <s v="CUST202"/>
    <s v="Female"/>
    <n v="34"/>
    <s v="Clothing"/>
    <n v="4"/>
    <n v="300"/>
    <n v="1200"/>
  </r>
  <r>
    <n v="203"/>
    <x v="42"/>
    <s v="CUST203"/>
    <s v="Male"/>
    <n v="56"/>
    <s v="Clothing"/>
    <n v="2"/>
    <n v="500"/>
    <n v="1000"/>
  </r>
  <r>
    <n v="204"/>
    <x v="118"/>
    <s v="CUST204"/>
    <s v="Male"/>
    <n v="39"/>
    <s v="Beauty"/>
    <n v="1"/>
    <n v="25"/>
    <n v="25"/>
  </r>
  <r>
    <n v="205"/>
    <x v="155"/>
    <s v="CUST205"/>
    <s v="Female"/>
    <n v="43"/>
    <s v="Clothing"/>
    <n v="1"/>
    <n v="25"/>
    <n v="25"/>
  </r>
  <r>
    <n v="206"/>
    <x v="12"/>
    <s v="CUST206"/>
    <s v="Male"/>
    <n v="61"/>
    <s v="Clothing"/>
    <n v="1"/>
    <n v="25"/>
    <n v="25"/>
  </r>
  <r>
    <n v="207"/>
    <x v="90"/>
    <s v="CUST207"/>
    <s v="Female"/>
    <n v="42"/>
    <s v="Beauty"/>
    <n v="2"/>
    <n v="25"/>
    <n v="50"/>
  </r>
  <r>
    <n v="208"/>
    <x v="135"/>
    <s v="CUST208"/>
    <s v="Female"/>
    <n v="34"/>
    <s v="Electronics"/>
    <n v="4"/>
    <n v="50"/>
    <n v="200"/>
  </r>
  <r>
    <n v="209"/>
    <x v="156"/>
    <s v="CUST209"/>
    <s v="Female"/>
    <n v="30"/>
    <s v="Electronics"/>
    <n v="4"/>
    <n v="50"/>
    <n v="200"/>
  </r>
  <r>
    <n v="210"/>
    <x v="157"/>
    <s v="CUST210"/>
    <s v="Male"/>
    <n v="37"/>
    <s v="Electronics"/>
    <n v="4"/>
    <n v="50"/>
    <n v="200"/>
  </r>
  <r>
    <n v="211"/>
    <x v="158"/>
    <s v="CUST211"/>
    <s v="Male"/>
    <n v="42"/>
    <s v="Beauty"/>
    <n v="3"/>
    <n v="500"/>
    <n v="1500"/>
  </r>
  <r>
    <n v="212"/>
    <x v="159"/>
    <s v="CUST212"/>
    <s v="Male"/>
    <n v="21"/>
    <s v="Clothing"/>
    <n v="3"/>
    <n v="500"/>
    <n v="1500"/>
  </r>
  <r>
    <n v="213"/>
    <x v="104"/>
    <s v="CUST213"/>
    <s v="Male"/>
    <n v="27"/>
    <s v="Beauty"/>
    <n v="3"/>
    <n v="500"/>
    <n v="1500"/>
  </r>
  <r>
    <n v="214"/>
    <x v="70"/>
    <s v="CUST214"/>
    <s v="Male"/>
    <n v="20"/>
    <s v="Beauty"/>
    <n v="2"/>
    <n v="30"/>
    <n v="60"/>
  </r>
  <r>
    <n v="215"/>
    <x v="23"/>
    <s v="CUST215"/>
    <s v="Male"/>
    <n v="58"/>
    <s v="Clothing"/>
    <n v="3"/>
    <n v="500"/>
    <n v="1500"/>
  </r>
  <r>
    <n v="216"/>
    <x v="133"/>
    <s v="CUST216"/>
    <s v="Male"/>
    <n v="62"/>
    <s v="Electronics"/>
    <n v="2"/>
    <n v="50"/>
    <n v="100"/>
  </r>
  <r>
    <n v="217"/>
    <x v="160"/>
    <s v="CUST217"/>
    <s v="Female"/>
    <n v="35"/>
    <s v="Electronics"/>
    <n v="4"/>
    <n v="50"/>
    <n v="200"/>
  </r>
  <r>
    <n v="218"/>
    <x v="161"/>
    <s v="CUST218"/>
    <s v="Male"/>
    <n v="64"/>
    <s v="Beauty"/>
    <n v="3"/>
    <n v="30"/>
    <n v="90"/>
  </r>
  <r>
    <n v="219"/>
    <x v="162"/>
    <s v="CUST219"/>
    <s v="Female"/>
    <n v="53"/>
    <s v="Electronics"/>
    <n v="3"/>
    <n v="30"/>
    <n v="90"/>
  </r>
  <r>
    <n v="220"/>
    <x v="163"/>
    <s v="CUST220"/>
    <s v="Male"/>
    <n v="64"/>
    <s v="Beauty"/>
    <n v="1"/>
    <n v="500"/>
    <n v="500"/>
  </r>
  <r>
    <n v="221"/>
    <x v="98"/>
    <s v="CUST221"/>
    <s v="Male"/>
    <n v="39"/>
    <s v="Beauty"/>
    <n v="2"/>
    <n v="300"/>
    <n v="600"/>
  </r>
  <r>
    <n v="222"/>
    <x v="164"/>
    <s v="CUST222"/>
    <s v="Male"/>
    <n v="51"/>
    <s v="Clothing"/>
    <n v="4"/>
    <n v="30"/>
    <n v="120"/>
  </r>
  <r>
    <n v="223"/>
    <x v="114"/>
    <s v="CUST223"/>
    <s v="Female"/>
    <n v="64"/>
    <s v="Clothing"/>
    <n v="1"/>
    <n v="25"/>
    <n v="25"/>
  </r>
  <r>
    <n v="224"/>
    <x v="165"/>
    <s v="CUST224"/>
    <s v="Female"/>
    <n v="25"/>
    <s v="Clothing"/>
    <n v="1"/>
    <n v="50"/>
    <n v="50"/>
  </r>
  <r>
    <n v="225"/>
    <x v="166"/>
    <s v="CUST225"/>
    <s v="Female"/>
    <n v="57"/>
    <s v="Beauty"/>
    <n v="4"/>
    <n v="25"/>
    <n v="100"/>
  </r>
  <r>
    <n v="226"/>
    <x v="28"/>
    <s v="CUST226"/>
    <s v="Female"/>
    <n v="61"/>
    <s v="Clothing"/>
    <n v="1"/>
    <n v="50"/>
    <n v="50"/>
  </r>
  <r>
    <n v="227"/>
    <x v="120"/>
    <s v="CUST227"/>
    <s v="Male"/>
    <n v="36"/>
    <s v="Electronics"/>
    <n v="2"/>
    <n v="50"/>
    <n v="100"/>
  </r>
  <r>
    <n v="228"/>
    <x v="85"/>
    <s v="CUST228"/>
    <s v="Female"/>
    <n v="59"/>
    <s v="Electronics"/>
    <n v="2"/>
    <n v="30"/>
    <n v="60"/>
  </r>
  <r>
    <n v="229"/>
    <x v="28"/>
    <s v="CUST229"/>
    <s v="Male"/>
    <n v="58"/>
    <s v="Beauty"/>
    <n v="3"/>
    <n v="30"/>
    <n v="90"/>
  </r>
  <r>
    <n v="230"/>
    <x v="26"/>
    <s v="CUST230"/>
    <s v="Male"/>
    <n v="54"/>
    <s v="Beauty"/>
    <n v="1"/>
    <n v="25"/>
    <n v="25"/>
  </r>
  <r>
    <n v="231"/>
    <x v="30"/>
    <s v="CUST231"/>
    <s v="Female"/>
    <n v="23"/>
    <s v="Clothing"/>
    <n v="3"/>
    <n v="50"/>
    <n v="150"/>
  </r>
  <r>
    <n v="232"/>
    <x v="74"/>
    <s v="CUST232"/>
    <s v="Female"/>
    <n v="43"/>
    <s v="Beauty"/>
    <n v="1"/>
    <n v="25"/>
    <n v="25"/>
  </r>
  <r>
    <n v="233"/>
    <x v="167"/>
    <s v="CUST233"/>
    <s v="Female"/>
    <n v="51"/>
    <s v="Beauty"/>
    <n v="2"/>
    <n v="300"/>
    <n v="600"/>
  </r>
  <r>
    <n v="234"/>
    <x v="168"/>
    <s v="CUST234"/>
    <s v="Female"/>
    <n v="62"/>
    <s v="Electronics"/>
    <n v="2"/>
    <n v="25"/>
    <n v="50"/>
  </r>
  <r>
    <n v="235"/>
    <x v="169"/>
    <s v="CUST235"/>
    <s v="Female"/>
    <n v="23"/>
    <s v="Electronics"/>
    <n v="2"/>
    <n v="500"/>
    <n v="1000"/>
  </r>
  <r>
    <n v="236"/>
    <x v="85"/>
    <s v="CUST236"/>
    <s v="Female"/>
    <n v="54"/>
    <s v="Clothing"/>
    <n v="1"/>
    <n v="25"/>
    <n v="25"/>
  </r>
  <r>
    <n v="237"/>
    <x v="170"/>
    <s v="CUST237"/>
    <s v="Female"/>
    <n v="50"/>
    <s v="Beauty"/>
    <n v="2"/>
    <n v="500"/>
    <n v="1000"/>
  </r>
  <r>
    <n v="238"/>
    <x v="13"/>
    <s v="CUST238"/>
    <s v="Female"/>
    <n v="39"/>
    <s v="Beauty"/>
    <n v="1"/>
    <n v="500"/>
    <n v="500"/>
  </r>
  <r>
    <n v="239"/>
    <x v="171"/>
    <s v="CUST239"/>
    <s v="Male"/>
    <n v="38"/>
    <s v="Electronics"/>
    <n v="3"/>
    <n v="500"/>
    <n v="1500"/>
  </r>
  <r>
    <n v="240"/>
    <x v="74"/>
    <s v="CUST240"/>
    <s v="Female"/>
    <n v="23"/>
    <s v="Beauty"/>
    <n v="1"/>
    <n v="300"/>
    <n v="300"/>
  </r>
  <r>
    <n v="241"/>
    <x v="172"/>
    <s v="CUST241"/>
    <s v="Female"/>
    <n v="23"/>
    <s v="Electronics"/>
    <n v="3"/>
    <n v="25"/>
    <n v="75"/>
  </r>
  <r>
    <n v="242"/>
    <x v="173"/>
    <s v="CUST242"/>
    <s v="Male"/>
    <n v="21"/>
    <s v="Clothing"/>
    <n v="1"/>
    <n v="25"/>
    <n v="25"/>
  </r>
  <r>
    <n v="243"/>
    <x v="29"/>
    <s v="CUST243"/>
    <s v="Female"/>
    <n v="47"/>
    <s v="Electronics"/>
    <n v="3"/>
    <n v="300"/>
    <n v="900"/>
  </r>
  <r>
    <n v="244"/>
    <x v="174"/>
    <s v="CUST244"/>
    <s v="Male"/>
    <n v="28"/>
    <s v="Beauty"/>
    <n v="2"/>
    <n v="50"/>
    <n v="100"/>
  </r>
  <r>
    <n v="245"/>
    <x v="147"/>
    <s v="CUST245"/>
    <s v="Male"/>
    <n v="47"/>
    <s v="Clothing"/>
    <n v="3"/>
    <n v="30"/>
    <n v="90"/>
  </r>
  <r>
    <n v="246"/>
    <x v="175"/>
    <s v="CUST246"/>
    <s v="Female"/>
    <n v="48"/>
    <s v="Electronics"/>
    <n v="2"/>
    <n v="25"/>
    <n v="50"/>
  </r>
  <r>
    <n v="247"/>
    <x v="135"/>
    <s v="CUST247"/>
    <s v="Male"/>
    <n v="41"/>
    <s v="Electronics"/>
    <n v="2"/>
    <n v="30"/>
    <n v="60"/>
  </r>
  <r>
    <n v="248"/>
    <x v="176"/>
    <s v="CUST248"/>
    <s v="Male"/>
    <n v="26"/>
    <s v="Clothing"/>
    <n v="3"/>
    <n v="300"/>
    <n v="900"/>
  </r>
  <r>
    <n v="249"/>
    <x v="177"/>
    <s v="CUST249"/>
    <s v="Male"/>
    <n v="20"/>
    <s v="Clothing"/>
    <n v="1"/>
    <n v="50"/>
    <n v="50"/>
  </r>
  <r>
    <n v="250"/>
    <x v="54"/>
    <s v="CUST250"/>
    <s v="Male"/>
    <n v="48"/>
    <s v="Electronics"/>
    <n v="1"/>
    <n v="50"/>
    <n v="50"/>
  </r>
  <r>
    <n v="251"/>
    <x v="178"/>
    <s v="CUST251"/>
    <s v="Female"/>
    <n v="57"/>
    <s v="Beauty"/>
    <n v="4"/>
    <n v="50"/>
    <n v="200"/>
  </r>
  <r>
    <n v="252"/>
    <x v="179"/>
    <s v="CUST252"/>
    <s v="Male"/>
    <n v="54"/>
    <s v="Electronics"/>
    <n v="1"/>
    <n v="300"/>
    <n v="300"/>
  </r>
  <r>
    <n v="253"/>
    <x v="178"/>
    <s v="CUST253"/>
    <s v="Female"/>
    <n v="53"/>
    <s v="Clothing"/>
    <n v="4"/>
    <n v="500"/>
    <n v="2000"/>
  </r>
  <r>
    <n v="254"/>
    <x v="180"/>
    <s v="CUST254"/>
    <s v="Male"/>
    <n v="41"/>
    <s v="Electronics"/>
    <n v="1"/>
    <n v="500"/>
    <n v="500"/>
  </r>
  <r>
    <n v="255"/>
    <x v="181"/>
    <s v="CUST255"/>
    <s v="Male"/>
    <n v="48"/>
    <s v="Clothing"/>
    <n v="1"/>
    <n v="30"/>
    <n v="30"/>
  </r>
  <r>
    <n v="256"/>
    <x v="182"/>
    <s v="CUST256"/>
    <s v="Male"/>
    <n v="23"/>
    <s v="Clothing"/>
    <n v="2"/>
    <n v="500"/>
    <n v="1000"/>
  </r>
  <r>
    <n v="257"/>
    <x v="38"/>
    <s v="CUST257"/>
    <s v="Male"/>
    <n v="19"/>
    <s v="Beauty"/>
    <n v="4"/>
    <n v="500"/>
    <n v="2000"/>
  </r>
  <r>
    <n v="258"/>
    <x v="151"/>
    <s v="CUST258"/>
    <s v="Female"/>
    <n v="37"/>
    <s v="Clothing"/>
    <n v="1"/>
    <n v="50"/>
    <n v="50"/>
  </r>
  <r>
    <n v="259"/>
    <x v="183"/>
    <s v="CUST259"/>
    <s v="Female"/>
    <n v="45"/>
    <s v="Clothing"/>
    <n v="4"/>
    <n v="50"/>
    <n v="200"/>
  </r>
  <r>
    <n v="260"/>
    <x v="68"/>
    <s v="CUST260"/>
    <s v="Male"/>
    <n v="28"/>
    <s v="Beauty"/>
    <n v="2"/>
    <n v="30"/>
    <n v="60"/>
  </r>
  <r>
    <n v="261"/>
    <x v="12"/>
    <s v="CUST261"/>
    <s v="Male"/>
    <n v="21"/>
    <s v="Clothing"/>
    <n v="2"/>
    <n v="25"/>
    <n v="50"/>
  </r>
  <r>
    <n v="262"/>
    <x v="184"/>
    <s v="CUST262"/>
    <s v="Female"/>
    <n v="32"/>
    <s v="Beauty"/>
    <n v="4"/>
    <n v="30"/>
    <n v="120"/>
  </r>
  <r>
    <n v="263"/>
    <x v="117"/>
    <s v="CUST263"/>
    <s v="Male"/>
    <n v="23"/>
    <s v="Beauty"/>
    <n v="2"/>
    <n v="30"/>
    <n v="60"/>
  </r>
  <r>
    <n v="264"/>
    <x v="185"/>
    <s v="CUST264"/>
    <s v="Male"/>
    <n v="47"/>
    <s v="Clothing"/>
    <n v="3"/>
    <n v="300"/>
    <n v="900"/>
  </r>
  <r>
    <n v="265"/>
    <x v="186"/>
    <s v="CUST265"/>
    <s v="Male"/>
    <n v="55"/>
    <s v="Clothing"/>
    <n v="3"/>
    <n v="300"/>
    <n v="900"/>
  </r>
  <r>
    <n v="266"/>
    <x v="187"/>
    <s v="CUST266"/>
    <s v="Female"/>
    <n v="19"/>
    <s v="Electronics"/>
    <n v="2"/>
    <n v="30"/>
    <n v="60"/>
  </r>
  <r>
    <n v="267"/>
    <x v="188"/>
    <s v="CUST267"/>
    <s v="Female"/>
    <n v="32"/>
    <s v="Beauty"/>
    <n v="3"/>
    <n v="30"/>
    <n v="90"/>
  </r>
  <r>
    <n v="268"/>
    <x v="189"/>
    <s v="CUST268"/>
    <s v="Female"/>
    <n v="28"/>
    <s v="Electronics"/>
    <n v="1"/>
    <n v="30"/>
    <n v="30"/>
  </r>
  <r>
    <n v="269"/>
    <x v="190"/>
    <s v="CUST269"/>
    <s v="Male"/>
    <n v="25"/>
    <s v="Clothing"/>
    <n v="4"/>
    <n v="500"/>
    <n v="2000"/>
  </r>
  <r>
    <n v="270"/>
    <x v="191"/>
    <s v="CUST270"/>
    <s v="Male"/>
    <n v="43"/>
    <s v="Electronics"/>
    <n v="1"/>
    <n v="300"/>
    <n v="300"/>
  </r>
  <r>
    <n v="271"/>
    <x v="165"/>
    <s v="CUST271"/>
    <s v="Female"/>
    <n v="62"/>
    <s v="Beauty"/>
    <n v="4"/>
    <n v="30"/>
    <n v="120"/>
  </r>
  <r>
    <n v="272"/>
    <x v="192"/>
    <s v="CUST272"/>
    <s v="Female"/>
    <n v="61"/>
    <s v="Electronics"/>
    <n v="2"/>
    <n v="50"/>
    <n v="100"/>
  </r>
  <r>
    <n v="273"/>
    <x v="193"/>
    <s v="CUST273"/>
    <s v="Female"/>
    <n v="22"/>
    <s v="Beauty"/>
    <n v="1"/>
    <n v="50"/>
    <n v="50"/>
  </r>
  <r>
    <n v="274"/>
    <x v="55"/>
    <s v="CUST274"/>
    <s v="Female"/>
    <n v="23"/>
    <s v="Clothing"/>
    <n v="2"/>
    <n v="500"/>
    <n v="1000"/>
  </r>
  <r>
    <n v="275"/>
    <x v="181"/>
    <s v="CUST275"/>
    <s v="Male"/>
    <n v="43"/>
    <s v="Clothing"/>
    <n v="2"/>
    <n v="500"/>
    <n v="1000"/>
  </r>
  <r>
    <n v="276"/>
    <x v="45"/>
    <s v="CUST276"/>
    <s v="Female"/>
    <n v="21"/>
    <s v="Beauty"/>
    <n v="4"/>
    <n v="25"/>
    <n v="100"/>
  </r>
  <r>
    <n v="277"/>
    <x v="27"/>
    <s v="CUST277"/>
    <s v="Male"/>
    <n v="36"/>
    <s v="Clothing"/>
    <n v="4"/>
    <n v="25"/>
    <n v="100"/>
  </r>
  <r>
    <n v="278"/>
    <x v="6"/>
    <s v="CUST278"/>
    <s v="Female"/>
    <n v="37"/>
    <s v="Clothing"/>
    <n v="4"/>
    <n v="25"/>
    <n v="100"/>
  </r>
  <r>
    <n v="279"/>
    <x v="12"/>
    <s v="CUST279"/>
    <s v="Male"/>
    <n v="50"/>
    <s v="Clothing"/>
    <n v="1"/>
    <n v="500"/>
    <n v="500"/>
  </r>
  <r>
    <n v="280"/>
    <x v="194"/>
    <s v="CUST280"/>
    <s v="Female"/>
    <n v="37"/>
    <s v="Clothing"/>
    <n v="3"/>
    <n v="500"/>
    <n v="1500"/>
  </r>
  <r>
    <n v="281"/>
    <x v="29"/>
    <s v="CUST281"/>
    <s v="Female"/>
    <n v="29"/>
    <s v="Beauty"/>
    <n v="4"/>
    <n v="500"/>
    <n v="2000"/>
  </r>
  <r>
    <n v="282"/>
    <x v="78"/>
    <s v="CUST282"/>
    <s v="Female"/>
    <n v="64"/>
    <s v="Electronics"/>
    <n v="4"/>
    <n v="50"/>
    <n v="200"/>
  </r>
  <r>
    <n v="283"/>
    <x v="193"/>
    <s v="CUST283"/>
    <s v="Female"/>
    <n v="18"/>
    <s v="Electronics"/>
    <n v="1"/>
    <n v="500"/>
    <n v="500"/>
  </r>
  <r>
    <n v="284"/>
    <x v="195"/>
    <s v="CUST284"/>
    <s v="Male"/>
    <n v="43"/>
    <s v="Clothing"/>
    <n v="4"/>
    <n v="50"/>
    <n v="200"/>
  </r>
  <r>
    <n v="285"/>
    <x v="196"/>
    <s v="CUST285"/>
    <s v="Female"/>
    <n v="31"/>
    <s v="Electronics"/>
    <n v="1"/>
    <n v="25"/>
    <n v="25"/>
  </r>
  <r>
    <n v="286"/>
    <x v="153"/>
    <s v="CUST286"/>
    <s v="Male"/>
    <n v="55"/>
    <s v="Electronics"/>
    <n v="2"/>
    <n v="25"/>
    <n v="50"/>
  </r>
  <r>
    <n v="287"/>
    <x v="189"/>
    <s v="CUST287"/>
    <s v="Male"/>
    <n v="54"/>
    <s v="Clothing"/>
    <n v="4"/>
    <n v="25"/>
    <n v="100"/>
  </r>
  <r>
    <n v="288"/>
    <x v="197"/>
    <s v="CUST288"/>
    <s v="Male"/>
    <n v="28"/>
    <s v="Clothing"/>
    <n v="4"/>
    <n v="30"/>
    <n v="120"/>
  </r>
  <r>
    <n v="289"/>
    <x v="198"/>
    <s v="CUST289"/>
    <s v="Male"/>
    <n v="53"/>
    <s v="Electronics"/>
    <n v="2"/>
    <n v="30"/>
    <n v="60"/>
  </r>
  <r>
    <n v="290"/>
    <x v="135"/>
    <s v="CUST290"/>
    <s v="Female"/>
    <n v="30"/>
    <s v="Beauty"/>
    <n v="2"/>
    <n v="300"/>
    <n v="600"/>
  </r>
  <r>
    <n v="291"/>
    <x v="199"/>
    <s v="CUST291"/>
    <s v="Male"/>
    <n v="60"/>
    <s v="Clothing"/>
    <n v="2"/>
    <n v="300"/>
    <n v="600"/>
  </r>
  <r>
    <n v="292"/>
    <x v="15"/>
    <s v="CUST292"/>
    <s v="Male"/>
    <n v="20"/>
    <s v="Beauty"/>
    <n v="4"/>
    <n v="300"/>
    <n v="1200"/>
  </r>
  <r>
    <n v="293"/>
    <x v="173"/>
    <s v="CUST293"/>
    <s v="Male"/>
    <n v="50"/>
    <s v="Electronics"/>
    <n v="3"/>
    <n v="30"/>
    <n v="90"/>
  </r>
  <r>
    <n v="294"/>
    <x v="200"/>
    <s v="CUST294"/>
    <s v="Female"/>
    <n v="23"/>
    <s v="Clothing"/>
    <n v="3"/>
    <n v="30"/>
    <n v="90"/>
  </r>
  <r>
    <n v="295"/>
    <x v="180"/>
    <s v="CUST295"/>
    <s v="Female"/>
    <n v="27"/>
    <s v="Beauty"/>
    <n v="3"/>
    <n v="300"/>
    <n v="900"/>
  </r>
  <r>
    <n v="296"/>
    <x v="147"/>
    <s v="CUST296"/>
    <s v="Female"/>
    <n v="22"/>
    <s v="Clothing"/>
    <n v="4"/>
    <n v="300"/>
    <n v="1200"/>
  </r>
  <r>
    <n v="297"/>
    <x v="201"/>
    <s v="CUST297"/>
    <s v="Female"/>
    <n v="40"/>
    <s v="Electronics"/>
    <n v="2"/>
    <n v="500"/>
    <n v="1000"/>
  </r>
  <r>
    <n v="298"/>
    <x v="175"/>
    <s v="CUST298"/>
    <s v="Male"/>
    <n v="27"/>
    <s v="Beauty"/>
    <n v="4"/>
    <n v="300"/>
    <n v="1200"/>
  </r>
  <r>
    <n v="299"/>
    <x v="87"/>
    <s v="CUST299"/>
    <s v="Male"/>
    <n v="61"/>
    <s v="Electronics"/>
    <n v="2"/>
    <n v="500"/>
    <n v="1000"/>
  </r>
  <r>
    <n v="300"/>
    <x v="169"/>
    <s v="CUST300"/>
    <s v="Female"/>
    <n v="19"/>
    <s v="Electronics"/>
    <n v="4"/>
    <n v="50"/>
    <n v="200"/>
  </r>
  <r>
    <n v="301"/>
    <x v="154"/>
    <s v="CUST301"/>
    <s v="Male"/>
    <n v="30"/>
    <s v="Clothing"/>
    <n v="4"/>
    <n v="30"/>
    <n v="120"/>
  </r>
  <r>
    <n v="302"/>
    <x v="37"/>
    <s v="CUST302"/>
    <s v="Male"/>
    <n v="57"/>
    <s v="Beauty"/>
    <n v="2"/>
    <n v="300"/>
    <n v="600"/>
  </r>
  <r>
    <n v="303"/>
    <x v="126"/>
    <s v="CUST303"/>
    <s v="Male"/>
    <n v="19"/>
    <s v="Electronics"/>
    <n v="3"/>
    <n v="30"/>
    <n v="90"/>
  </r>
  <r>
    <n v="304"/>
    <x v="202"/>
    <s v="CUST304"/>
    <s v="Female"/>
    <n v="37"/>
    <s v="Electronics"/>
    <n v="2"/>
    <n v="30"/>
    <n v="60"/>
  </r>
  <r>
    <n v="305"/>
    <x v="42"/>
    <s v="CUST305"/>
    <s v="Female"/>
    <n v="18"/>
    <s v="Beauty"/>
    <n v="1"/>
    <n v="30"/>
    <n v="30"/>
  </r>
  <r>
    <n v="306"/>
    <x v="63"/>
    <s v="CUST306"/>
    <s v="Male"/>
    <n v="54"/>
    <s v="Electronics"/>
    <n v="1"/>
    <n v="50"/>
    <n v="50"/>
  </r>
  <r>
    <n v="307"/>
    <x v="203"/>
    <s v="CUST307"/>
    <s v="Female"/>
    <n v="26"/>
    <s v="Electronics"/>
    <n v="2"/>
    <n v="25"/>
    <n v="50"/>
  </r>
  <r>
    <n v="308"/>
    <x v="12"/>
    <s v="CUST308"/>
    <s v="Female"/>
    <n v="34"/>
    <s v="Beauty"/>
    <n v="4"/>
    <n v="300"/>
    <n v="1200"/>
  </r>
  <r>
    <n v="309"/>
    <x v="204"/>
    <s v="CUST309"/>
    <s v="Female"/>
    <n v="26"/>
    <s v="Beauty"/>
    <n v="1"/>
    <n v="25"/>
    <n v="25"/>
  </r>
  <r>
    <n v="310"/>
    <x v="205"/>
    <s v="CUST310"/>
    <s v="Female"/>
    <n v="28"/>
    <s v="Beauty"/>
    <n v="1"/>
    <n v="25"/>
    <n v="25"/>
  </r>
  <r>
    <n v="311"/>
    <x v="59"/>
    <s v="CUST311"/>
    <s v="Female"/>
    <n v="32"/>
    <s v="Beauty"/>
    <n v="4"/>
    <n v="25"/>
    <n v="100"/>
  </r>
  <r>
    <n v="312"/>
    <x v="206"/>
    <s v="CUST312"/>
    <s v="Male"/>
    <n v="41"/>
    <s v="Clothing"/>
    <n v="4"/>
    <n v="30"/>
    <n v="120"/>
  </r>
  <r>
    <n v="313"/>
    <x v="34"/>
    <s v="CUST313"/>
    <s v="Female"/>
    <n v="55"/>
    <s v="Beauty"/>
    <n v="3"/>
    <n v="500"/>
    <n v="1500"/>
  </r>
  <r>
    <n v="314"/>
    <x v="181"/>
    <s v="CUST314"/>
    <s v="Male"/>
    <n v="52"/>
    <s v="Clothing"/>
    <n v="4"/>
    <n v="30"/>
    <n v="120"/>
  </r>
  <r>
    <n v="315"/>
    <x v="207"/>
    <s v="CUST315"/>
    <s v="Male"/>
    <n v="47"/>
    <s v="Clothing"/>
    <n v="2"/>
    <n v="30"/>
    <n v="60"/>
  </r>
  <r>
    <n v="316"/>
    <x v="16"/>
    <s v="CUST316"/>
    <s v="Female"/>
    <n v="48"/>
    <s v="Clothing"/>
    <n v="2"/>
    <n v="25"/>
    <n v="50"/>
  </r>
  <r>
    <n v="317"/>
    <x v="144"/>
    <s v="CUST317"/>
    <s v="Male"/>
    <n v="22"/>
    <s v="Electronics"/>
    <n v="3"/>
    <n v="30"/>
    <n v="90"/>
  </r>
  <r>
    <n v="318"/>
    <x v="208"/>
    <s v="CUST318"/>
    <s v="Male"/>
    <n v="61"/>
    <s v="Clothing"/>
    <n v="1"/>
    <n v="25"/>
    <n v="25"/>
  </r>
  <r>
    <n v="319"/>
    <x v="209"/>
    <s v="CUST319"/>
    <s v="Male"/>
    <n v="31"/>
    <s v="Clothing"/>
    <n v="1"/>
    <n v="500"/>
    <n v="500"/>
  </r>
  <r>
    <n v="320"/>
    <x v="190"/>
    <s v="CUST320"/>
    <s v="Female"/>
    <n v="28"/>
    <s v="Electronics"/>
    <n v="4"/>
    <n v="300"/>
    <n v="1200"/>
  </r>
  <r>
    <n v="321"/>
    <x v="210"/>
    <s v="CUST321"/>
    <s v="Female"/>
    <n v="26"/>
    <s v="Electronics"/>
    <n v="2"/>
    <n v="25"/>
    <n v="50"/>
  </r>
  <r>
    <n v="322"/>
    <x v="144"/>
    <s v="CUST322"/>
    <s v="Male"/>
    <n v="51"/>
    <s v="Electronics"/>
    <n v="1"/>
    <n v="500"/>
    <n v="500"/>
  </r>
  <r>
    <n v="323"/>
    <x v="197"/>
    <s v="CUST323"/>
    <s v="Female"/>
    <n v="29"/>
    <s v="Beauty"/>
    <n v="3"/>
    <n v="300"/>
    <n v="900"/>
  </r>
  <r>
    <n v="324"/>
    <x v="101"/>
    <s v="CUST324"/>
    <s v="Female"/>
    <n v="52"/>
    <s v="Electronics"/>
    <n v="3"/>
    <n v="50"/>
    <n v="150"/>
  </r>
  <r>
    <n v="325"/>
    <x v="211"/>
    <s v="CUST325"/>
    <s v="Female"/>
    <n v="52"/>
    <s v="Electronics"/>
    <n v="2"/>
    <n v="25"/>
    <n v="50"/>
  </r>
  <r>
    <n v="326"/>
    <x v="212"/>
    <s v="CUST326"/>
    <s v="Female"/>
    <n v="18"/>
    <s v="Clothing"/>
    <n v="3"/>
    <n v="25"/>
    <n v="75"/>
  </r>
  <r>
    <n v="327"/>
    <x v="136"/>
    <s v="CUST327"/>
    <s v="Male"/>
    <n v="57"/>
    <s v="Electronics"/>
    <n v="3"/>
    <n v="50"/>
    <n v="150"/>
  </r>
  <r>
    <n v="328"/>
    <x v="125"/>
    <s v="CUST328"/>
    <s v="Male"/>
    <n v="39"/>
    <s v="Beauty"/>
    <n v="2"/>
    <n v="50"/>
    <n v="100"/>
  </r>
  <r>
    <n v="329"/>
    <x v="144"/>
    <s v="CUST329"/>
    <s v="Female"/>
    <n v="46"/>
    <s v="Electronics"/>
    <n v="4"/>
    <n v="25"/>
    <n v="100"/>
  </r>
  <r>
    <n v="330"/>
    <x v="106"/>
    <s v="CUST330"/>
    <s v="Female"/>
    <n v="25"/>
    <s v="Beauty"/>
    <n v="4"/>
    <n v="50"/>
    <n v="200"/>
  </r>
  <r>
    <n v="331"/>
    <x v="213"/>
    <s v="CUST331"/>
    <s v="Male"/>
    <n v="28"/>
    <s v="Electronics"/>
    <n v="3"/>
    <n v="30"/>
    <n v="90"/>
  </r>
  <r>
    <n v="332"/>
    <x v="214"/>
    <s v="CUST332"/>
    <s v="Male"/>
    <n v="58"/>
    <s v="Electronics"/>
    <n v="4"/>
    <n v="300"/>
    <n v="1200"/>
  </r>
  <r>
    <n v="333"/>
    <x v="57"/>
    <s v="CUST333"/>
    <s v="Female"/>
    <n v="54"/>
    <s v="Electronics"/>
    <n v="4"/>
    <n v="300"/>
    <n v="1200"/>
  </r>
  <r>
    <n v="334"/>
    <x v="215"/>
    <s v="CUST334"/>
    <s v="Male"/>
    <n v="31"/>
    <s v="Electronics"/>
    <n v="3"/>
    <n v="300"/>
    <n v="900"/>
  </r>
  <r>
    <n v="335"/>
    <x v="170"/>
    <s v="CUST335"/>
    <s v="Female"/>
    <n v="47"/>
    <s v="Beauty"/>
    <n v="4"/>
    <n v="30"/>
    <n v="120"/>
  </r>
  <r>
    <n v="336"/>
    <x v="216"/>
    <s v="CUST336"/>
    <s v="Female"/>
    <n v="52"/>
    <s v="Beauty"/>
    <n v="3"/>
    <n v="50"/>
    <n v="150"/>
  </r>
  <r>
    <n v="337"/>
    <x v="217"/>
    <s v="CUST337"/>
    <s v="Male"/>
    <n v="38"/>
    <s v="Clothing"/>
    <n v="1"/>
    <n v="500"/>
    <n v="500"/>
  </r>
  <r>
    <n v="338"/>
    <x v="191"/>
    <s v="CUST338"/>
    <s v="Male"/>
    <n v="54"/>
    <s v="Beauty"/>
    <n v="2"/>
    <n v="50"/>
    <n v="100"/>
  </r>
  <r>
    <n v="339"/>
    <x v="163"/>
    <s v="CUST339"/>
    <s v="Female"/>
    <n v="22"/>
    <s v="Electronics"/>
    <n v="2"/>
    <n v="25"/>
    <n v="50"/>
  </r>
  <r>
    <n v="340"/>
    <x v="218"/>
    <s v="CUST340"/>
    <s v="Female"/>
    <n v="36"/>
    <s v="Clothing"/>
    <n v="4"/>
    <n v="300"/>
    <n v="1200"/>
  </r>
  <r>
    <n v="341"/>
    <x v="98"/>
    <s v="CUST341"/>
    <s v="Male"/>
    <n v="31"/>
    <s v="Clothing"/>
    <n v="4"/>
    <n v="50"/>
    <n v="200"/>
  </r>
  <r>
    <n v="342"/>
    <x v="208"/>
    <s v="CUST342"/>
    <s v="Female"/>
    <n v="43"/>
    <s v="Clothing"/>
    <n v="4"/>
    <n v="500"/>
    <n v="2000"/>
  </r>
  <r>
    <n v="343"/>
    <x v="215"/>
    <s v="CUST343"/>
    <s v="Male"/>
    <n v="21"/>
    <s v="Electronics"/>
    <n v="2"/>
    <n v="25"/>
    <n v="50"/>
  </r>
  <r>
    <n v="344"/>
    <x v="219"/>
    <s v="CUST344"/>
    <s v="Female"/>
    <n v="42"/>
    <s v="Beauty"/>
    <n v="1"/>
    <n v="30"/>
    <n v="30"/>
  </r>
  <r>
    <n v="345"/>
    <x v="220"/>
    <s v="CUST345"/>
    <s v="Male"/>
    <n v="62"/>
    <s v="Electronics"/>
    <n v="1"/>
    <n v="30"/>
    <n v="30"/>
  </r>
  <r>
    <n v="346"/>
    <x v="213"/>
    <s v="CUST346"/>
    <s v="Male"/>
    <n v="59"/>
    <s v="Clothing"/>
    <n v="2"/>
    <n v="500"/>
    <n v="1000"/>
  </r>
  <r>
    <n v="347"/>
    <x v="25"/>
    <s v="CUST347"/>
    <s v="Male"/>
    <n v="42"/>
    <s v="Electronics"/>
    <n v="1"/>
    <n v="25"/>
    <n v="25"/>
  </r>
  <r>
    <n v="348"/>
    <x v="221"/>
    <s v="CUST348"/>
    <s v="Female"/>
    <n v="35"/>
    <s v="Electronics"/>
    <n v="2"/>
    <n v="300"/>
    <n v="600"/>
  </r>
  <r>
    <n v="349"/>
    <x v="103"/>
    <s v="CUST349"/>
    <s v="Female"/>
    <n v="57"/>
    <s v="Beauty"/>
    <n v="1"/>
    <n v="50"/>
    <n v="50"/>
  </r>
  <r>
    <n v="350"/>
    <x v="222"/>
    <s v="CUST350"/>
    <s v="Male"/>
    <n v="25"/>
    <s v="Beauty"/>
    <n v="3"/>
    <n v="25"/>
    <n v="75"/>
  </r>
  <r>
    <n v="351"/>
    <x v="223"/>
    <s v="CUST351"/>
    <s v="Female"/>
    <n v="56"/>
    <s v="Clothing"/>
    <n v="3"/>
    <n v="30"/>
    <n v="90"/>
  </r>
  <r>
    <n v="352"/>
    <x v="86"/>
    <s v="CUST352"/>
    <s v="Male"/>
    <n v="57"/>
    <s v="Electronics"/>
    <n v="2"/>
    <n v="500"/>
    <n v="1000"/>
  </r>
  <r>
    <n v="353"/>
    <x v="224"/>
    <s v="CUST353"/>
    <s v="Male"/>
    <n v="31"/>
    <s v="Electronics"/>
    <n v="1"/>
    <n v="500"/>
    <n v="500"/>
  </r>
  <r>
    <n v="354"/>
    <x v="225"/>
    <s v="CUST354"/>
    <s v="Female"/>
    <n v="49"/>
    <s v="Beauty"/>
    <n v="4"/>
    <n v="50"/>
    <n v="200"/>
  </r>
  <r>
    <n v="355"/>
    <x v="174"/>
    <s v="CUST355"/>
    <s v="Female"/>
    <n v="55"/>
    <s v="Electronics"/>
    <n v="1"/>
    <n v="500"/>
    <n v="500"/>
  </r>
  <r>
    <n v="356"/>
    <x v="210"/>
    <s v="CUST356"/>
    <s v="Male"/>
    <n v="50"/>
    <s v="Electronics"/>
    <n v="3"/>
    <n v="500"/>
    <n v="1500"/>
  </r>
  <r>
    <n v="357"/>
    <x v="143"/>
    <s v="CUST357"/>
    <s v="Female"/>
    <n v="40"/>
    <s v="Electronics"/>
    <n v="3"/>
    <n v="25"/>
    <n v="75"/>
  </r>
  <r>
    <n v="358"/>
    <x v="42"/>
    <s v="CUST358"/>
    <s v="Female"/>
    <n v="32"/>
    <s v="Beauty"/>
    <n v="1"/>
    <n v="300"/>
    <n v="300"/>
  </r>
  <r>
    <n v="359"/>
    <x v="94"/>
    <s v="CUST359"/>
    <s v="Male"/>
    <n v="50"/>
    <s v="Clothing"/>
    <n v="1"/>
    <n v="50"/>
    <n v="50"/>
  </r>
  <r>
    <n v="360"/>
    <x v="176"/>
    <s v="CUST360"/>
    <s v="Male"/>
    <n v="42"/>
    <s v="Clothing"/>
    <n v="4"/>
    <n v="25"/>
    <n v="100"/>
  </r>
  <r>
    <n v="361"/>
    <x v="70"/>
    <s v="CUST361"/>
    <s v="Female"/>
    <n v="34"/>
    <s v="Electronics"/>
    <n v="4"/>
    <n v="300"/>
    <n v="1200"/>
  </r>
  <r>
    <n v="362"/>
    <x v="188"/>
    <s v="CUST362"/>
    <s v="Male"/>
    <n v="50"/>
    <s v="Clothing"/>
    <n v="1"/>
    <n v="25"/>
    <n v="25"/>
  </r>
  <r>
    <n v="363"/>
    <x v="226"/>
    <s v="CUST363"/>
    <s v="Male"/>
    <n v="64"/>
    <s v="Beauty"/>
    <n v="1"/>
    <n v="25"/>
    <n v="25"/>
  </r>
  <r>
    <n v="364"/>
    <x v="96"/>
    <s v="CUST364"/>
    <s v="Female"/>
    <n v="19"/>
    <s v="Beauty"/>
    <n v="1"/>
    <n v="500"/>
    <n v="500"/>
  </r>
  <r>
    <n v="365"/>
    <x v="86"/>
    <s v="CUST365"/>
    <s v="Male"/>
    <n v="31"/>
    <s v="Clothing"/>
    <n v="1"/>
    <n v="300"/>
    <n v="300"/>
  </r>
  <r>
    <n v="366"/>
    <x v="227"/>
    <s v="CUST366"/>
    <s v="Male"/>
    <n v="57"/>
    <s v="Clothing"/>
    <n v="2"/>
    <n v="50"/>
    <n v="100"/>
  </r>
  <r>
    <n v="367"/>
    <x v="228"/>
    <s v="CUST367"/>
    <s v="Female"/>
    <n v="57"/>
    <s v="Electronics"/>
    <n v="1"/>
    <n v="50"/>
    <n v="50"/>
  </r>
  <r>
    <n v="368"/>
    <x v="96"/>
    <s v="CUST368"/>
    <s v="Female"/>
    <n v="56"/>
    <s v="Clothing"/>
    <n v="4"/>
    <n v="300"/>
    <n v="1200"/>
  </r>
  <r>
    <n v="369"/>
    <x v="229"/>
    <s v="CUST369"/>
    <s v="Male"/>
    <n v="23"/>
    <s v="Electronics"/>
    <n v="3"/>
    <n v="500"/>
    <n v="1500"/>
  </r>
  <r>
    <n v="370"/>
    <x v="230"/>
    <s v="CUST370"/>
    <s v="Male"/>
    <n v="23"/>
    <s v="Electronics"/>
    <n v="2"/>
    <n v="30"/>
    <n v="60"/>
  </r>
  <r>
    <n v="371"/>
    <x v="62"/>
    <s v="CUST371"/>
    <s v="Female"/>
    <n v="20"/>
    <s v="Beauty"/>
    <n v="1"/>
    <n v="25"/>
    <n v="25"/>
  </r>
  <r>
    <n v="372"/>
    <x v="227"/>
    <s v="CUST372"/>
    <s v="Female"/>
    <n v="24"/>
    <s v="Beauty"/>
    <n v="3"/>
    <n v="500"/>
    <n v="1500"/>
  </r>
  <r>
    <n v="373"/>
    <x v="99"/>
    <s v="CUST373"/>
    <s v="Female"/>
    <n v="25"/>
    <s v="Beauty"/>
    <n v="2"/>
    <n v="300"/>
    <n v="600"/>
  </r>
  <r>
    <n v="374"/>
    <x v="175"/>
    <s v="CUST374"/>
    <s v="Female"/>
    <n v="59"/>
    <s v="Beauty"/>
    <n v="3"/>
    <n v="25"/>
    <n v="75"/>
  </r>
  <r>
    <n v="375"/>
    <x v="129"/>
    <s v="CUST375"/>
    <s v="Male"/>
    <n v="32"/>
    <s v="Clothing"/>
    <n v="1"/>
    <n v="50"/>
    <n v="50"/>
  </r>
  <r>
    <n v="376"/>
    <x v="42"/>
    <s v="CUST376"/>
    <s v="Female"/>
    <n v="64"/>
    <s v="Beauty"/>
    <n v="1"/>
    <n v="30"/>
    <n v="30"/>
  </r>
  <r>
    <n v="377"/>
    <x v="176"/>
    <s v="CUST377"/>
    <s v="Female"/>
    <n v="46"/>
    <s v="Clothing"/>
    <n v="4"/>
    <n v="50"/>
    <n v="200"/>
  </r>
  <r>
    <n v="378"/>
    <x v="231"/>
    <s v="CUST378"/>
    <s v="Male"/>
    <n v="50"/>
    <s v="Beauty"/>
    <n v="1"/>
    <n v="300"/>
    <n v="300"/>
  </r>
  <r>
    <n v="379"/>
    <x v="57"/>
    <s v="CUST379"/>
    <s v="Female"/>
    <n v="47"/>
    <s v="Clothing"/>
    <n v="1"/>
    <n v="25"/>
    <n v="25"/>
  </r>
  <r>
    <n v="380"/>
    <x v="4"/>
    <s v="CUST380"/>
    <s v="Male"/>
    <n v="56"/>
    <s v="Electronics"/>
    <n v="2"/>
    <n v="300"/>
    <n v="600"/>
  </r>
  <r>
    <n v="381"/>
    <x v="67"/>
    <s v="CUST381"/>
    <s v="Female"/>
    <n v="44"/>
    <s v="Clothing"/>
    <n v="4"/>
    <n v="25"/>
    <n v="100"/>
  </r>
  <r>
    <n v="382"/>
    <x v="232"/>
    <s v="CUST382"/>
    <s v="Female"/>
    <n v="53"/>
    <s v="Clothing"/>
    <n v="2"/>
    <n v="500"/>
    <n v="1000"/>
  </r>
  <r>
    <n v="383"/>
    <x v="125"/>
    <s v="CUST383"/>
    <s v="Female"/>
    <n v="46"/>
    <s v="Beauty"/>
    <n v="3"/>
    <n v="30"/>
    <n v="90"/>
  </r>
  <r>
    <n v="384"/>
    <x v="160"/>
    <s v="CUST384"/>
    <s v="Male"/>
    <n v="55"/>
    <s v="Clothing"/>
    <n v="1"/>
    <n v="500"/>
    <n v="500"/>
  </r>
  <r>
    <n v="385"/>
    <x v="233"/>
    <s v="CUST385"/>
    <s v="Male"/>
    <n v="50"/>
    <s v="Electronics"/>
    <n v="3"/>
    <n v="500"/>
    <n v="1500"/>
  </r>
  <r>
    <n v="386"/>
    <x v="56"/>
    <s v="CUST386"/>
    <s v="Female"/>
    <n v="54"/>
    <s v="Electronics"/>
    <n v="2"/>
    <n v="300"/>
    <n v="600"/>
  </r>
  <r>
    <n v="387"/>
    <x v="234"/>
    <s v="CUST387"/>
    <s v="Male"/>
    <n v="44"/>
    <s v="Beauty"/>
    <n v="1"/>
    <n v="30"/>
    <n v="30"/>
  </r>
  <r>
    <n v="388"/>
    <x v="235"/>
    <s v="CUST388"/>
    <s v="Male"/>
    <n v="50"/>
    <s v="Electronics"/>
    <n v="1"/>
    <n v="25"/>
    <n v="25"/>
  </r>
  <r>
    <n v="389"/>
    <x v="187"/>
    <s v="CUST389"/>
    <s v="Male"/>
    <n v="21"/>
    <s v="Clothing"/>
    <n v="2"/>
    <n v="25"/>
    <n v="50"/>
  </r>
  <r>
    <n v="390"/>
    <x v="118"/>
    <s v="CUST390"/>
    <s v="Male"/>
    <n v="39"/>
    <s v="Electronics"/>
    <n v="2"/>
    <n v="50"/>
    <n v="100"/>
  </r>
  <r>
    <n v="391"/>
    <x v="228"/>
    <s v="CUST391"/>
    <s v="Male"/>
    <n v="19"/>
    <s v="Beauty"/>
    <n v="2"/>
    <n v="25"/>
    <n v="50"/>
  </r>
  <r>
    <n v="392"/>
    <x v="236"/>
    <s v="CUST392"/>
    <s v="Male"/>
    <n v="27"/>
    <s v="Clothing"/>
    <n v="2"/>
    <n v="300"/>
    <n v="600"/>
  </r>
  <r>
    <n v="393"/>
    <x v="120"/>
    <s v="CUST393"/>
    <s v="Female"/>
    <n v="22"/>
    <s v="Beauty"/>
    <n v="2"/>
    <n v="500"/>
    <n v="1000"/>
  </r>
  <r>
    <n v="394"/>
    <x v="226"/>
    <s v="CUST394"/>
    <s v="Female"/>
    <n v="27"/>
    <s v="Clothing"/>
    <n v="1"/>
    <n v="500"/>
    <n v="500"/>
  </r>
  <r>
    <n v="395"/>
    <x v="237"/>
    <s v="CUST395"/>
    <s v="Male"/>
    <n v="50"/>
    <s v="Electronics"/>
    <n v="2"/>
    <n v="500"/>
    <n v="1000"/>
  </r>
  <r>
    <n v="396"/>
    <x v="238"/>
    <s v="CUST396"/>
    <s v="Female"/>
    <n v="55"/>
    <s v="Beauty"/>
    <n v="1"/>
    <n v="30"/>
    <n v="30"/>
  </r>
  <r>
    <n v="397"/>
    <x v="239"/>
    <s v="CUST397"/>
    <s v="Female"/>
    <n v="30"/>
    <s v="Beauty"/>
    <n v="1"/>
    <n v="25"/>
    <n v="25"/>
  </r>
  <r>
    <n v="398"/>
    <x v="42"/>
    <s v="CUST398"/>
    <s v="Female"/>
    <n v="48"/>
    <s v="Clothing"/>
    <n v="2"/>
    <n v="300"/>
    <n v="600"/>
  </r>
  <r>
    <n v="399"/>
    <x v="240"/>
    <s v="CUST399"/>
    <s v="Female"/>
    <n v="64"/>
    <s v="Beauty"/>
    <n v="2"/>
    <n v="30"/>
    <n v="60"/>
  </r>
  <r>
    <n v="400"/>
    <x v="130"/>
    <s v="CUST400"/>
    <s v="Male"/>
    <n v="53"/>
    <s v="Clothing"/>
    <n v="4"/>
    <n v="50"/>
    <n v="200"/>
  </r>
  <r>
    <n v="401"/>
    <x v="120"/>
    <s v="CUST401"/>
    <s v="Female"/>
    <n v="62"/>
    <s v="Clothing"/>
    <n v="1"/>
    <n v="300"/>
    <n v="300"/>
  </r>
  <r>
    <n v="402"/>
    <x v="34"/>
    <s v="CUST402"/>
    <s v="Female"/>
    <n v="41"/>
    <s v="Clothing"/>
    <n v="2"/>
    <n v="300"/>
    <n v="600"/>
  </r>
  <r>
    <n v="403"/>
    <x v="241"/>
    <s v="CUST403"/>
    <s v="Male"/>
    <n v="32"/>
    <s v="Clothing"/>
    <n v="2"/>
    <n v="300"/>
    <n v="600"/>
  </r>
  <r>
    <n v="404"/>
    <x v="242"/>
    <s v="CUST404"/>
    <s v="Male"/>
    <n v="46"/>
    <s v="Electronics"/>
    <n v="2"/>
    <n v="500"/>
    <n v="1000"/>
  </r>
  <r>
    <n v="405"/>
    <x v="41"/>
    <s v="CUST405"/>
    <s v="Female"/>
    <n v="25"/>
    <s v="Clothing"/>
    <n v="4"/>
    <n v="300"/>
    <n v="1200"/>
  </r>
  <r>
    <n v="406"/>
    <x v="69"/>
    <s v="CUST406"/>
    <s v="Female"/>
    <n v="22"/>
    <s v="Beauty"/>
    <n v="4"/>
    <n v="25"/>
    <n v="100"/>
  </r>
  <r>
    <n v="407"/>
    <x v="243"/>
    <s v="CUST407"/>
    <s v="Female"/>
    <n v="46"/>
    <s v="Electronics"/>
    <n v="3"/>
    <n v="300"/>
    <n v="900"/>
  </r>
  <r>
    <n v="408"/>
    <x v="225"/>
    <s v="CUST408"/>
    <s v="Female"/>
    <n v="64"/>
    <s v="Beauty"/>
    <n v="1"/>
    <n v="500"/>
    <n v="500"/>
  </r>
  <r>
    <n v="409"/>
    <x v="244"/>
    <s v="CUST409"/>
    <s v="Female"/>
    <n v="21"/>
    <s v="Electronics"/>
    <n v="3"/>
    <n v="300"/>
    <n v="900"/>
  </r>
  <r>
    <n v="410"/>
    <x v="245"/>
    <s v="CUST410"/>
    <s v="Female"/>
    <n v="29"/>
    <s v="Clothing"/>
    <n v="2"/>
    <n v="50"/>
    <n v="100"/>
  </r>
  <r>
    <n v="411"/>
    <x v="42"/>
    <s v="CUST411"/>
    <s v="Male"/>
    <n v="62"/>
    <s v="Electronics"/>
    <n v="4"/>
    <n v="50"/>
    <n v="200"/>
  </r>
  <r>
    <n v="412"/>
    <x v="18"/>
    <s v="CUST412"/>
    <s v="Female"/>
    <n v="19"/>
    <s v="Electronics"/>
    <n v="4"/>
    <n v="500"/>
    <n v="2000"/>
  </r>
  <r>
    <n v="413"/>
    <x v="140"/>
    <s v="CUST413"/>
    <s v="Female"/>
    <n v="44"/>
    <s v="Beauty"/>
    <n v="3"/>
    <n v="25"/>
    <n v="75"/>
  </r>
  <r>
    <n v="414"/>
    <x v="119"/>
    <s v="CUST414"/>
    <s v="Male"/>
    <n v="48"/>
    <s v="Beauty"/>
    <n v="4"/>
    <n v="25"/>
    <n v="100"/>
  </r>
  <r>
    <n v="415"/>
    <x v="246"/>
    <s v="CUST415"/>
    <s v="Male"/>
    <n v="53"/>
    <s v="Clothing"/>
    <n v="2"/>
    <n v="30"/>
    <n v="60"/>
  </r>
  <r>
    <n v="416"/>
    <x v="15"/>
    <s v="CUST416"/>
    <s v="Male"/>
    <n v="53"/>
    <s v="Electronics"/>
    <n v="4"/>
    <n v="500"/>
    <n v="2000"/>
  </r>
  <r>
    <n v="417"/>
    <x v="245"/>
    <s v="CUST417"/>
    <s v="Male"/>
    <n v="43"/>
    <s v="Electronics"/>
    <n v="3"/>
    <n v="300"/>
    <n v="900"/>
  </r>
  <r>
    <n v="418"/>
    <x v="12"/>
    <s v="CUST418"/>
    <s v="Female"/>
    <n v="60"/>
    <s v="Electronics"/>
    <n v="2"/>
    <n v="500"/>
    <n v="1000"/>
  </r>
  <r>
    <n v="419"/>
    <x v="247"/>
    <s v="CUST419"/>
    <s v="Female"/>
    <n v="44"/>
    <s v="Clothing"/>
    <n v="3"/>
    <n v="30"/>
    <n v="90"/>
  </r>
  <r>
    <n v="420"/>
    <x v="43"/>
    <s v="CUST420"/>
    <s v="Female"/>
    <n v="22"/>
    <s v="Clothing"/>
    <n v="4"/>
    <n v="500"/>
    <n v="2000"/>
  </r>
  <r>
    <n v="421"/>
    <x v="126"/>
    <s v="CUST421"/>
    <s v="Female"/>
    <n v="37"/>
    <s v="Clothing"/>
    <n v="3"/>
    <n v="500"/>
    <n v="1500"/>
  </r>
  <r>
    <n v="422"/>
    <x v="248"/>
    <s v="CUST422"/>
    <s v="Female"/>
    <n v="28"/>
    <s v="Clothing"/>
    <n v="3"/>
    <n v="30"/>
    <n v="90"/>
  </r>
  <r>
    <n v="423"/>
    <x v="249"/>
    <s v="CUST423"/>
    <s v="Female"/>
    <n v="27"/>
    <s v="Clothing"/>
    <n v="1"/>
    <n v="25"/>
    <n v="25"/>
  </r>
  <r>
    <n v="424"/>
    <x v="250"/>
    <s v="CUST424"/>
    <s v="Male"/>
    <n v="57"/>
    <s v="Beauty"/>
    <n v="4"/>
    <n v="300"/>
    <n v="1200"/>
  </r>
  <r>
    <n v="425"/>
    <x v="100"/>
    <s v="CUST425"/>
    <s v="Female"/>
    <n v="55"/>
    <s v="Electronics"/>
    <n v="4"/>
    <n v="30"/>
    <n v="120"/>
  </r>
  <r>
    <n v="426"/>
    <x v="134"/>
    <s v="CUST426"/>
    <s v="Male"/>
    <n v="23"/>
    <s v="Electronics"/>
    <n v="3"/>
    <n v="50"/>
    <n v="150"/>
  </r>
  <r>
    <n v="427"/>
    <x v="196"/>
    <s v="CUST427"/>
    <s v="Male"/>
    <n v="25"/>
    <s v="Electronics"/>
    <n v="1"/>
    <n v="25"/>
    <n v="25"/>
  </r>
  <r>
    <n v="428"/>
    <x v="49"/>
    <s v="CUST428"/>
    <s v="Female"/>
    <n v="40"/>
    <s v="Electronics"/>
    <n v="4"/>
    <n v="50"/>
    <n v="200"/>
  </r>
  <r>
    <n v="429"/>
    <x v="251"/>
    <s v="CUST429"/>
    <s v="Male"/>
    <n v="64"/>
    <s v="Electronics"/>
    <n v="2"/>
    <n v="25"/>
    <n v="50"/>
  </r>
  <r>
    <n v="430"/>
    <x v="252"/>
    <s v="CUST430"/>
    <s v="Female"/>
    <n v="43"/>
    <s v="Electronics"/>
    <n v="3"/>
    <n v="300"/>
    <n v="900"/>
  </r>
  <r>
    <n v="431"/>
    <x v="21"/>
    <s v="CUST431"/>
    <s v="Male"/>
    <n v="63"/>
    <s v="Electronics"/>
    <n v="4"/>
    <n v="300"/>
    <n v="1200"/>
  </r>
  <r>
    <n v="432"/>
    <x v="228"/>
    <s v="CUST432"/>
    <s v="Female"/>
    <n v="60"/>
    <s v="Electronics"/>
    <n v="2"/>
    <n v="500"/>
    <n v="1000"/>
  </r>
  <r>
    <n v="433"/>
    <x v="1"/>
    <s v="CUST433"/>
    <s v="Male"/>
    <n v="29"/>
    <s v="Beauty"/>
    <n v="4"/>
    <n v="50"/>
    <n v="200"/>
  </r>
  <r>
    <n v="434"/>
    <x v="195"/>
    <s v="CUST434"/>
    <s v="Female"/>
    <n v="43"/>
    <s v="Electronics"/>
    <n v="2"/>
    <n v="25"/>
    <n v="50"/>
  </r>
  <r>
    <n v="435"/>
    <x v="156"/>
    <s v="CUST435"/>
    <s v="Female"/>
    <n v="30"/>
    <s v="Beauty"/>
    <n v="3"/>
    <n v="300"/>
    <n v="900"/>
  </r>
  <r>
    <n v="436"/>
    <x v="253"/>
    <s v="CUST436"/>
    <s v="Female"/>
    <n v="57"/>
    <s v="Clothing"/>
    <n v="4"/>
    <n v="30"/>
    <n v="120"/>
  </r>
  <r>
    <n v="437"/>
    <x v="9"/>
    <s v="CUST437"/>
    <s v="Female"/>
    <n v="35"/>
    <s v="Electronics"/>
    <n v="4"/>
    <n v="300"/>
    <n v="1200"/>
  </r>
  <r>
    <n v="438"/>
    <x v="254"/>
    <s v="CUST438"/>
    <s v="Female"/>
    <n v="42"/>
    <s v="Clothing"/>
    <n v="1"/>
    <n v="30"/>
    <n v="30"/>
  </r>
  <r>
    <n v="439"/>
    <x v="67"/>
    <s v="CUST439"/>
    <s v="Male"/>
    <n v="50"/>
    <s v="Clothing"/>
    <n v="3"/>
    <n v="25"/>
    <n v="75"/>
  </r>
  <r>
    <n v="440"/>
    <x v="103"/>
    <s v="CUST440"/>
    <s v="Male"/>
    <n v="64"/>
    <s v="Clothing"/>
    <n v="2"/>
    <n v="300"/>
    <n v="600"/>
  </r>
  <r>
    <n v="441"/>
    <x v="49"/>
    <s v="CUST441"/>
    <s v="Male"/>
    <n v="57"/>
    <s v="Beauty"/>
    <n v="4"/>
    <n v="300"/>
    <n v="1200"/>
  </r>
  <r>
    <n v="442"/>
    <x v="255"/>
    <s v="CUST442"/>
    <s v="Female"/>
    <n v="60"/>
    <s v="Clothing"/>
    <n v="4"/>
    <n v="25"/>
    <n v="100"/>
  </r>
  <r>
    <n v="443"/>
    <x v="183"/>
    <s v="CUST443"/>
    <s v="Male"/>
    <n v="29"/>
    <s v="Clothing"/>
    <n v="2"/>
    <n v="300"/>
    <n v="600"/>
  </r>
  <r>
    <n v="444"/>
    <x v="150"/>
    <s v="CUST444"/>
    <s v="Female"/>
    <n v="61"/>
    <s v="Clothing"/>
    <n v="3"/>
    <n v="30"/>
    <n v="90"/>
  </r>
  <r>
    <n v="445"/>
    <x v="256"/>
    <s v="CUST445"/>
    <s v="Female"/>
    <n v="53"/>
    <s v="Electronics"/>
    <n v="1"/>
    <n v="300"/>
    <n v="300"/>
  </r>
  <r>
    <n v="446"/>
    <x v="142"/>
    <s v="CUST446"/>
    <s v="Male"/>
    <n v="21"/>
    <s v="Electronics"/>
    <n v="1"/>
    <n v="50"/>
    <n v="50"/>
  </r>
  <r>
    <n v="447"/>
    <x v="65"/>
    <s v="CUST447"/>
    <s v="Male"/>
    <n v="22"/>
    <s v="Beauty"/>
    <n v="4"/>
    <n v="500"/>
    <n v="2000"/>
  </r>
  <r>
    <n v="448"/>
    <x v="219"/>
    <s v="CUST448"/>
    <s v="Female"/>
    <n v="54"/>
    <s v="Beauty"/>
    <n v="2"/>
    <n v="30"/>
    <n v="60"/>
  </r>
  <r>
    <n v="449"/>
    <x v="39"/>
    <s v="CUST449"/>
    <s v="Male"/>
    <n v="25"/>
    <s v="Electronics"/>
    <n v="4"/>
    <n v="50"/>
    <n v="200"/>
  </r>
  <r>
    <n v="450"/>
    <x v="69"/>
    <s v="CUST450"/>
    <s v="Female"/>
    <n v="59"/>
    <s v="Beauty"/>
    <n v="2"/>
    <n v="25"/>
    <n v="50"/>
  </r>
  <r>
    <n v="451"/>
    <x v="72"/>
    <s v="CUST451"/>
    <s v="Female"/>
    <n v="45"/>
    <s v="Electronics"/>
    <n v="1"/>
    <n v="30"/>
    <n v="30"/>
  </r>
  <r>
    <n v="452"/>
    <x v="193"/>
    <s v="CUST452"/>
    <s v="Female"/>
    <n v="48"/>
    <s v="Clothing"/>
    <n v="3"/>
    <n v="500"/>
    <n v="1500"/>
  </r>
  <r>
    <n v="453"/>
    <x v="236"/>
    <s v="CUST453"/>
    <s v="Female"/>
    <n v="26"/>
    <s v="Clothing"/>
    <n v="2"/>
    <n v="500"/>
    <n v="1000"/>
  </r>
  <r>
    <n v="454"/>
    <x v="7"/>
    <s v="CUST454"/>
    <s v="Female"/>
    <n v="46"/>
    <s v="Beauty"/>
    <n v="1"/>
    <n v="25"/>
    <n v="25"/>
  </r>
  <r>
    <n v="455"/>
    <x v="68"/>
    <s v="CUST455"/>
    <s v="Male"/>
    <n v="31"/>
    <s v="Electronics"/>
    <n v="4"/>
    <n v="25"/>
    <n v="100"/>
  </r>
  <r>
    <n v="456"/>
    <x v="257"/>
    <s v="CUST456"/>
    <s v="Male"/>
    <n v="57"/>
    <s v="Electronics"/>
    <n v="2"/>
    <n v="30"/>
    <n v="60"/>
  </r>
  <r>
    <n v="457"/>
    <x v="180"/>
    <s v="CUST457"/>
    <s v="Female"/>
    <n v="58"/>
    <s v="Beauty"/>
    <n v="3"/>
    <n v="300"/>
    <n v="900"/>
  </r>
  <r>
    <n v="458"/>
    <x v="220"/>
    <s v="CUST458"/>
    <s v="Female"/>
    <n v="39"/>
    <s v="Electronics"/>
    <n v="4"/>
    <n v="25"/>
    <n v="100"/>
  </r>
  <r>
    <n v="459"/>
    <x v="34"/>
    <s v="CUST459"/>
    <s v="Male"/>
    <n v="28"/>
    <s v="Clothing"/>
    <n v="4"/>
    <n v="300"/>
    <n v="1200"/>
  </r>
  <r>
    <n v="460"/>
    <x v="173"/>
    <s v="CUST460"/>
    <s v="Male"/>
    <n v="40"/>
    <s v="Beauty"/>
    <n v="1"/>
    <n v="50"/>
    <n v="50"/>
  </r>
  <r>
    <n v="461"/>
    <x v="66"/>
    <s v="CUST461"/>
    <s v="Female"/>
    <n v="18"/>
    <s v="Beauty"/>
    <n v="2"/>
    <n v="500"/>
    <n v="1000"/>
  </r>
  <r>
    <n v="462"/>
    <x v="258"/>
    <s v="CUST462"/>
    <s v="Male"/>
    <n v="63"/>
    <s v="Electronics"/>
    <n v="4"/>
    <n v="300"/>
    <n v="1200"/>
  </r>
  <r>
    <n v="463"/>
    <x v="259"/>
    <s v="CUST463"/>
    <s v="Female"/>
    <n v="54"/>
    <s v="Beauty"/>
    <n v="3"/>
    <n v="500"/>
    <n v="1500"/>
  </r>
  <r>
    <n v="464"/>
    <x v="2"/>
    <s v="CUST464"/>
    <s v="Male"/>
    <n v="38"/>
    <s v="Electronics"/>
    <n v="2"/>
    <n v="300"/>
    <n v="600"/>
  </r>
  <r>
    <n v="465"/>
    <x v="128"/>
    <s v="CUST465"/>
    <s v="Female"/>
    <n v="43"/>
    <s v="Electronics"/>
    <n v="3"/>
    <n v="50"/>
    <n v="150"/>
  </r>
  <r>
    <n v="466"/>
    <x v="248"/>
    <s v="CUST466"/>
    <s v="Male"/>
    <n v="63"/>
    <s v="Electronics"/>
    <n v="4"/>
    <n v="25"/>
    <n v="100"/>
  </r>
  <r>
    <n v="467"/>
    <x v="184"/>
    <s v="CUST467"/>
    <s v="Female"/>
    <n v="53"/>
    <s v="Electronics"/>
    <n v="3"/>
    <n v="50"/>
    <n v="150"/>
  </r>
  <r>
    <n v="468"/>
    <x v="174"/>
    <s v="CUST468"/>
    <s v="Male"/>
    <n v="40"/>
    <s v="Electronics"/>
    <n v="1"/>
    <n v="25"/>
    <n v="25"/>
  </r>
  <r>
    <n v="469"/>
    <x v="193"/>
    <s v="CUST469"/>
    <s v="Male"/>
    <n v="18"/>
    <s v="Beauty"/>
    <n v="3"/>
    <n v="25"/>
    <n v="75"/>
  </r>
  <r>
    <n v="470"/>
    <x v="71"/>
    <s v="CUST470"/>
    <s v="Female"/>
    <n v="57"/>
    <s v="Clothing"/>
    <n v="2"/>
    <n v="500"/>
    <n v="1000"/>
  </r>
  <r>
    <n v="471"/>
    <x v="31"/>
    <s v="CUST471"/>
    <s v="Male"/>
    <n v="32"/>
    <s v="Clothing"/>
    <n v="3"/>
    <n v="50"/>
    <n v="150"/>
  </r>
  <r>
    <n v="472"/>
    <x v="24"/>
    <s v="CUST472"/>
    <s v="Female"/>
    <n v="38"/>
    <s v="Beauty"/>
    <n v="3"/>
    <n v="300"/>
    <n v="900"/>
  </r>
  <r>
    <n v="473"/>
    <x v="192"/>
    <s v="CUST473"/>
    <s v="Male"/>
    <n v="64"/>
    <s v="Beauty"/>
    <n v="1"/>
    <n v="50"/>
    <n v="50"/>
  </r>
  <r>
    <n v="474"/>
    <x v="116"/>
    <s v="CUST474"/>
    <s v="Female"/>
    <n v="26"/>
    <s v="Clothing"/>
    <n v="3"/>
    <n v="500"/>
    <n v="1500"/>
  </r>
  <r>
    <n v="475"/>
    <x v="260"/>
    <s v="CUST475"/>
    <s v="Male"/>
    <n v="26"/>
    <s v="Clothing"/>
    <n v="3"/>
    <n v="25"/>
    <n v="75"/>
  </r>
  <r>
    <n v="476"/>
    <x v="261"/>
    <s v="CUST476"/>
    <s v="Female"/>
    <n v="27"/>
    <s v="Clothing"/>
    <n v="4"/>
    <n v="500"/>
    <n v="2000"/>
  </r>
  <r>
    <n v="477"/>
    <x v="262"/>
    <s v="CUST477"/>
    <s v="Male"/>
    <n v="43"/>
    <s v="Clothing"/>
    <n v="4"/>
    <n v="30"/>
    <n v="120"/>
  </r>
  <r>
    <n v="478"/>
    <x v="157"/>
    <s v="CUST478"/>
    <s v="Female"/>
    <n v="58"/>
    <s v="Clothing"/>
    <n v="2"/>
    <n v="30"/>
    <n v="60"/>
  </r>
  <r>
    <n v="479"/>
    <x v="44"/>
    <s v="CUST479"/>
    <s v="Male"/>
    <n v="52"/>
    <s v="Electronics"/>
    <n v="4"/>
    <n v="300"/>
    <n v="1200"/>
  </r>
  <r>
    <n v="480"/>
    <x v="263"/>
    <s v="CUST480"/>
    <s v="Female"/>
    <n v="42"/>
    <s v="Beauty"/>
    <n v="4"/>
    <n v="500"/>
    <n v="2000"/>
  </r>
  <r>
    <n v="481"/>
    <x v="264"/>
    <s v="CUST481"/>
    <s v="Female"/>
    <n v="43"/>
    <s v="Electronics"/>
    <n v="4"/>
    <n v="300"/>
    <n v="1200"/>
  </r>
  <r>
    <n v="482"/>
    <x v="60"/>
    <s v="CUST482"/>
    <s v="Female"/>
    <n v="28"/>
    <s v="Clothing"/>
    <n v="4"/>
    <n v="300"/>
    <n v="1200"/>
  </r>
  <r>
    <n v="483"/>
    <x v="5"/>
    <s v="CUST483"/>
    <s v="Male"/>
    <n v="55"/>
    <s v="Clothing"/>
    <n v="1"/>
    <n v="30"/>
    <n v="30"/>
  </r>
  <r>
    <n v="484"/>
    <x v="2"/>
    <s v="CUST484"/>
    <s v="Female"/>
    <n v="19"/>
    <s v="Clothing"/>
    <n v="4"/>
    <n v="300"/>
    <n v="1200"/>
  </r>
  <r>
    <n v="485"/>
    <x v="151"/>
    <s v="CUST485"/>
    <s v="Male"/>
    <n v="24"/>
    <s v="Electronics"/>
    <n v="1"/>
    <n v="30"/>
    <n v="30"/>
  </r>
  <r>
    <n v="486"/>
    <x v="55"/>
    <s v="CUST486"/>
    <s v="Female"/>
    <n v="35"/>
    <s v="Electronics"/>
    <n v="1"/>
    <n v="25"/>
    <n v="25"/>
  </r>
  <r>
    <n v="487"/>
    <x v="104"/>
    <s v="CUST487"/>
    <s v="Male"/>
    <n v="44"/>
    <s v="Clothing"/>
    <n v="4"/>
    <n v="500"/>
    <n v="2000"/>
  </r>
  <r>
    <n v="488"/>
    <x v="265"/>
    <s v="CUST488"/>
    <s v="Female"/>
    <n v="51"/>
    <s v="Electronics"/>
    <n v="3"/>
    <n v="300"/>
    <n v="900"/>
  </r>
  <r>
    <n v="489"/>
    <x v="29"/>
    <s v="CUST489"/>
    <s v="Male"/>
    <n v="44"/>
    <s v="Electronics"/>
    <n v="1"/>
    <n v="30"/>
    <n v="30"/>
  </r>
  <r>
    <n v="490"/>
    <x v="57"/>
    <s v="CUST490"/>
    <s v="Male"/>
    <n v="34"/>
    <s v="Clothing"/>
    <n v="3"/>
    <n v="50"/>
    <n v="150"/>
  </r>
  <r>
    <n v="491"/>
    <x v="29"/>
    <s v="CUST491"/>
    <s v="Female"/>
    <n v="60"/>
    <s v="Electronics"/>
    <n v="3"/>
    <n v="300"/>
    <n v="900"/>
  </r>
  <r>
    <n v="492"/>
    <x v="263"/>
    <s v="CUST492"/>
    <s v="Male"/>
    <n v="61"/>
    <s v="Beauty"/>
    <n v="4"/>
    <n v="25"/>
    <n v="100"/>
  </r>
  <r>
    <n v="493"/>
    <x v="123"/>
    <s v="CUST493"/>
    <s v="Male"/>
    <n v="41"/>
    <s v="Beauty"/>
    <n v="2"/>
    <n v="25"/>
    <n v="50"/>
  </r>
  <r>
    <n v="494"/>
    <x v="106"/>
    <s v="CUST494"/>
    <s v="Female"/>
    <n v="42"/>
    <s v="Beauty"/>
    <n v="4"/>
    <n v="50"/>
    <n v="200"/>
  </r>
  <r>
    <n v="495"/>
    <x v="104"/>
    <s v="CUST495"/>
    <s v="Male"/>
    <n v="24"/>
    <s v="Beauty"/>
    <n v="2"/>
    <n v="30"/>
    <n v="60"/>
  </r>
  <r>
    <n v="496"/>
    <x v="266"/>
    <s v="CUST496"/>
    <s v="Male"/>
    <n v="23"/>
    <s v="Clothing"/>
    <n v="2"/>
    <n v="300"/>
    <n v="600"/>
  </r>
  <r>
    <n v="497"/>
    <x v="45"/>
    <s v="CUST497"/>
    <s v="Male"/>
    <n v="41"/>
    <s v="Clothing"/>
    <n v="4"/>
    <n v="30"/>
    <n v="120"/>
  </r>
  <r>
    <n v="498"/>
    <x v="171"/>
    <s v="CUST498"/>
    <s v="Female"/>
    <n v="50"/>
    <s v="Clothing"/>
    <n v="4"/>
    <n v="25"/>
    <n v="100"/>
  </r>
  <r>
    <n v="499"/>
    <x v="267"/>
    <s v="CUST499"/>
    <s v="Male"/>
    <n v="46"/>
    <s v="Beauty"/>
    <n v="2"/>
    <n v="30"/>
    <n v="60"/>
  </r>
  <r>
    <n v="500"/>
    <x v="240"/>
    <s v="CUST500"/>
    <s v="Female"/>
    <n v="60"/>
    <s v="Beauty"/>
    <n v="4"/>
    <n v="25"/>
    <n v="100"/>
  </r>
  <r>
    <n v="501"/>
    <x v="224"/>
    <s v="CUST501"/>
    <s v="Male"/>
    <n v="39"/>
    <s v="Electronics"/>
    <n v="2"/>
    <n v="30"/>
    <n v="60"/>
  </r>
  <r>
    <n v="502"/>
    <x v="128"/>
    <s v="CUST502"/>
    <s v="Male"/>
    <n v="43"/>
    <s v="Electronics"/>
    <n v="3"/>
    <n v="50"/>
    <n v="150"/>
  </r>
  <r>
    <n v="503"/>
    <x v="268"/>
    <s v="CUST503"/>
    <s v="Male"/>
    <n v="45"/>
    <s v="Beauty"/>
    <n v="4"/>
    <n v="500"/>
    <n v="2000"/>
  </r>
  <r>
    <n v="504"/>
    <x v="42"/>
    <s v="CUST504"/>
    <s v="Female"/>
    <n v="38"/>
    <s v="Beauty"/>
    <n v="3"/>
    <n v="50"/>
    <n v="150"/>
  </r>
  <r>
    <n v="505"/>
    <x v="260"/>
    <s v="CUST505"/>
    <s v="Male"/>
    <n v="24"/>
    <s v="Beauty"/>
    <n v="1"/>
    <n v="50"/>
    <n v="50"/>
  </r>
  <r>
    <n v="506"/>
    <x v="192"/>
    <s v="CUST506"/>
    <s v="Male"/>
    <n v="34"/>
    <s v="Beauty"/>
    <n v="3"/>
    <n v="500"/>
    <n v="1500"/>
  </r>
  <r>
    <n v="507"/>
    <x v="113"/>
    <s v="CUST507"/>
    <s v="Female"/>
    <n v="37"/>
    <s v="Electronics"/>
    <n v="3"/>
    <n v="500"/>
    <n v="1500"/>
  </r>
  <r>
    <n v="508"/>
    <x v="124"/>
    <s v="CUST508"/>
    <s v="Male"/>
    <n v="58"/>
    <s v="Beauty"/>
    <n v="2"/>
    <n v="300"/>
    <n v="600"/>
  </r>
  <r>
    <n v="509"/>
    <x v="40"/>
    <s v="CUST509"/>
    <s v="Female"/>
    <n v="37"/>
    <s v="Electronics"/>
    <n v="3"/>
    <n v="300"/>
    <n v="900"/>
  </r>
  <r>
    <n v="510"/>
    <x v="210"/>
    <s v="CUST510"/>
    <s v="Female"/>
    <n v="39"/>
    <s v="Beauty"/>
    <n v="4"/>
    <n v="50"/>
    <n v="200"/>
  </r>
  <r>
    <n v="511"/>
    <x v="269"/>
    <s v="CUST511"/>
    <s v="Male"/>
    <n v="45"/>
    <s v="Beauty"/>
    <n v="2"/>
    <n v="50"/>
    <n v="100"/>
  </r>
  <r>
    <n v="512"/>
    <x v="155"/>
    <s v="CUST512"/>
    <s v="Female"/>
    <n v="57"/>
    <s v="Beauty"/>
    <n v="1"/>
    <n v="25"/>
    <n v="25"/>
  </r>
  <r>
    <n v="513"/>
    <x v="270"/>
    <s v="CUST513"/>
    <s v="Male"/>
    <n v="24"/>
    <s v="Electronics"/>
    <n v="4"/>
    <n v="25"/>
    <n v="100"/>
  </r>
  <r>
    <n v="514"/>
    <x v="240"/>
    <s v="CUST514"/>
    <s v="Female"/>
    <n v="18"/>
    <s v="Electronics"/>
    <n v="1"/>
    <n v="300"/>
    <n v="300"/>
  </r>
  <r>
    <n v="515"/>
    <x v="115"/>
    <s v="CUST515"/>
    <s v="Female"/>
    <n v="49"/>
    <s v="Clothing"/>
    <n v="3"/>
    <n v="300"/>
    <n v="900"/>
  </r>
  <r>
    <n v="516"/>
    <x v="54"/>
    <s v="CUST516"/>
    <s v="Male"/>
    <n v="30"/>
    <s v="Beauty"/>
    <n v="4"/>
    <n v="25"/>
    <n v="100"/>
  </r>
  <r>
    <n v="517"/>
    <x v="181"/>
    <s v="CUST517"/>
    <s v="Female"/>
    <n v="47"/>
    <s v="Clothing"/>
    <n v="4"/>
    <n v="25"/>
    <n v="100"/>
  </r>
  <r>
    <n v="518"/>
    <x v="271"/>
    <s v="CUST518"/>
    <s v="Female"/>
    <n v="40"/>
    <s v="Clothing"/>
    <n v="1"/>
    <n v="30"/>
    <n v="30"/>
  </r>
  <r>
    <n v="519"/>
    <x v="43"/>
    <s v="CUST519"/>
    <s v="Female"/>
    <n v="36"/>
    <s v="Electronics"/>
    <n v="4"/>
    <n v="30"/>
    <n v="120"/>
  </r>
  <r>
    <n v="520"/>
    <x v="167"/>
    <s v="CUST520"/>
    <s v="Female"/>
    <n v="49"/>
    <s v="Electronics"/>
    <n v="4"/>
    <n v="25"/>
    <n v="100"/>
  </r>
  <r>
    <n v="521"/>
    <x v="269"/>
    <s v="CUST521"/>
    <s v="Female"/>
    <n v="47"/>
    <s v="Clothing"/>
    <n v="4"/>
    <n v="30"/>
    <n v="120"/>
  </r>
  <r>
    <n v="522"/>
    <x v="137"/>
    <s v="CUST522"/>
    <s v="Male"/>
    <n v="46"/>
    <s v="Beauty"/>
    <n v="3"/>
    <n v="500"/>
    <n v="1500"/>
  </r>
  <r>
    <n v="523"/>
    <x v="272"/>
    <s v="CUST523"/>
    <s v="Female"/>
    <n v="62"/>
    <s v="Electronics"/>
    <n v="1"/>
    <n v="300"/>
    <n v="300"/>
  </r>
  <r>
    <n v="524"/>
    <x v="99"/>
    <s v="CUST524"/>
    <s v="Male"/>
    <n v="46"/>
    <s v="Beauty"/>
    <n v="4"/>
    <n v="300"/>
    <n v="1200"/>
  </r>
  <r>
    <n v="525"/>
    <x v="244"/>
    <s v="CUST525"/>
    <s v="Female"/>
    <n v="47"/>
    <s v="Beauty"/>
    <n v="2"/>
    <n v="25"/>
    <n v="50"/>
  </r>
  <r>
    <n v="526"/>
    <x v="70"/>
    <s v="CUST526"/>
    <s v="Male"/>
    <n v="33"/>
    <s v="Clothing"/>
    <n v="2"/>
    <n v="50"/>
    <n v="100"/>
  </r>
  <r>
    <n v="527"/>
    <x v="273"/>
    <s v="CUST527"/>
    <s v="Male"/>
    <n v="57"/>
    <s v="Clothing"/>
    <n v="2"/>
    <n v="25"/>
    <n v="50"/>
  </r>
  <r>
    <n v="528"/>
    <x v="65"/>
    <s v="CUST528"/>
    <s v="Female"/>
    <n v="36"/>
    <s v="Clothing"/>
    <n v="2"/>
    <n v="30"/>
    <n v="60"/>
  </r>
  <r>
    <n v="529"/>
    <x v="183"/>
    <s v="CUST529"/>
    <s v="Female"/>
    <n v="35"/>
    <s v="Clothing"/>
    <n v="3"/>
    <n v="50"/>
    <n v="150"/>
  </r>
  <r>
    <n v="530"/>
    <x v="57"/>
    <s v="CUST530"/>
    <s v="Female"/>
    <n v="18"/>
    <s v="Electronics"/>
    <n v="4"/>
    <n v="30"/>
    <n v="120"/>
  </r>
  <r>
    <n v="531"/>
    <x v="274"/>
    <s v="CUST531"/>
    <s v="Male"/>
    <n v="31"/>
    <s v="Electronics"/>
    <n v="1"/>
    <n v="500"/>
    <n v="500"/>
  </r>
  <r>
    <n v="532"/>
    <x v="171"/>
    <s v="CUST532"/>
    <s v="Female"/>
    <n v="64"/>
    <s v="Clothing"/>
    <n v="4"/>
    <n v="30"/>
    <n v="120"/>
  </r>
  <r>
    <n v="533"/>
    <x v="275"/>
    <s v="CUST533"/>
    <s v="Male"/>
    <n v="19"/>
    <s v="Electronics"/>
    <n v="3"/>
    <n v="500"/>
    <n v="1500"/>
  </r>
  <r>
    <n v="534"/>
    <x v="210"/>
    <s v="CUST534"/>
    <s v="Male"/>
    <n v="45"/>
    <s v="Clothing"/>
    <n v="2"/>
    <n v="500"/>
    <n v="1000"/>
  </r>
  <r>
    <n v="535"/>
    <x v="237"/>
    <s v="CUST535"/>
    <s v="Male"/>
    <n v="47"/>
    <s v="Beauty"/>
    <n v="3"/>
    <n v="30"/>
    <n v="90"/>
  </r>
  <r>
    <n v="536"/>
    <x v="46"/>
    <s v="CUST536"/>
    <s v="Female"/>
    <n v="55"/>
    <s v="Beauty"/>
    <n v="4"/>
    <n v="30"/>
    <n v="120"/>
  </r>
  <r>
    <n v="537"/>
    <x v="226"/>
    <s v="CUST537"/>
    <s v="Female"/>
    <n v="21"/>
    <s v="Beauty"/>
    <n v="1"/>
    <n v="500"/>
    <n v="500"/>
  </r>
  <r>
    <n v="538"/>
    <x v="129"/>
    <s v="CUST538"/>
    <s v="Male"/>
    <n v="18"/>
    <s v="Clothing"/>
    <n v="3"/>
    <n v="50"/>
    <n v="150"/>
  </r>
  <r>
    <n v="539"/>
    <x v="276"/>
    <s v="CUST539"/>
    <s v="Male"/>
    <n v="25"/>
    <s v="Beauty"/>
    <n v="1"/>
    <n v="500"/>
    <n v="500"/>
  </r>
  <r>
    <n v="540"/>
    <x v="236"/>
    <s v="CUST540"/>
    <s v="Female"/>
    <n v="46"/>
    <s v="Electronics"/>
    <n v="3"/>
    <n v="300"/>
    <n v="900"/>
  </r>
  <r>
    <n v="541"/>
    <x v="277"/>
    <s v="CUST541"/>
    <s v="Male"/>
    <n v="56"/>
    <s v="Beauty"/>
    <n v="1"/>
    <n v="500"/>
    <n v="500"/>
  </r>
  <r>
    <n v="542"/>
    <x v="278"/>
    <s v="CUST542"/>
    <s v="Female"/>
    <n v="20"/>
    <s v="Beauty"/>
    <n v="1"/>
    <n v="50"/>
    <n v="50"/>
  </r>
  <r>
    <n v="543"/>
    <x v="191"/>
    <s v="CUST543"/>
    <s v="Male"/>
    <n v="49"/>
    <s v="Beauty"/>
    <n v="2"/>
    <n v="300"/>
    <n v="600"/>
  </r>
  <r>
    <n v="544"/>
    <x v="204"/>
    <s v="CUST544"/>
    <s v="Female"/>
    <n v="27"/>
    <s v="Electronics"/>
    <n v="1"/>
    <n v="25"/>
    <n v="25"/>
  </r>
  <r>
    <n v="545"/>
    <x v="207"/>
    <s v="CUST545"/>
    <s v="Male"/>
    <n v="27"/>
    <s v="Clothing"/>
    <n v="2"/>
    <n v="25"/>
    <n v="50"/>
  </r>
  <r>
    <n v="546"/>
    <x v="120"/>
    <s v="CUST546"/>
    <s v="Female"/>
    <n v="36"/>
    <s v="Electronics"/>
    <n v="4"/>
    <n v="50"/>
    <n v="200"/>
  </r>
  <r>
    <n v="547"/>
    <x v="150"/>
    <s v="CUST547"/>
    <s v="Male"/>
    <n v="63"/>
    <s v="Clothing"/>
    <n v="4"/>
    <n v="500"/>
    <n v="2000"/>
  </r>
  <r>
    <n v="548"/>
    <x v="55"/>
    <s v="CUST548"/>
    <s v="Female"/>
    <n v="51"/>
    <s v="Clothing"/>
    <n v="2"/>
    <n v="30"/>
    <n v="60"/>
  </r>
  <r>
    <n v="549"/>
    <x v="279"/>
    <s v="CUST549"/>
    <s v="Female"/>
    <n v="50"/>
    <s v="Beauty"/>
    <n v="2"/>
    <n v="50"/>
    <n v="100"/>
  </r>
  <r>
    <n v="550"/>
    <x v="274"/>
    <s v="CUST550"/>
    <s v="Male"/>
    <n v="40"/>
    <s v="Clothing"/>
    <n v="3"/>
    <n v="300"/>
    <n v="900"/>
  </r>
  <r>
    <n v="551"/>
    <x v="37"/>
    <s v="CUST551"/>
    <s v="Male"/>
    <n v="45"/>
    <s v="Electronics"/>
    <n v="3"/>
    <n v="300"/>
    <n v="900"/>
  </r>
  <r>
    <n v="552"/>
    <x v="8"/>
    <s v="CUST552"/>
    <s v="Female"/>
    <n v="49"/>
    <s v="Electronics"/>
    <n v="3"/>
    <n v="25"/>
    <n v="75"/>
  </r>
  <r>
    <n v="553"/>
    <x v="280"/>
    <s v="CUST553"/>
    <s v="Male"/>
    <n v="24"/>
    <s v="Clothing"/>
    <n v="4"/>
    <n v="300"/>
    <n v="1200"/>
  </r>
  <r>
    <n v="554"/>
    <x v="281"/>
    <s v="CUST554"/>
    <s v="Female"/>
    <n v="46"/>
    <s v="Beauty"/>
    <n v="3"/>
    <n v="50"/>
    <n v="150"/>
  </r>
  <r>
    <n v="555"/>
    <x v="218"/>
    <s v="CUST555"/>
    <s v="Male"/>
    <n v="25"/>
    <s v="Beauty"/>
    <n v="1"/>
    <n v="300"/>
    <n v="300"/>
  </r>
  <r>
    <n v="556"/>
    <x v="234"/>
    <s v="CUST556"/>
    <s v="Female"/>
    <n v="18"/>
    <s v="Electronics"/>
    <n v="1"/>
    <n v="50"/>
    <n v="50"/>
  </r>
  <r>
    <n v="557"/>
    <x v="282"/>
    <s v="CUST557"/>
    <s v="Female"/>
    <n v="20"/>
    <s v="Beauty"/>
    <n v="3"/>
    <n v="30"/>
    <n v="90"/>
  </r>
  <r>
    <n v="558"/>
    <x v="283"/>
    <s v="CUST558"/>
    <s v="Female"/>
    <n v="41"/>
    <s v="Clothing"/>
    <n v="1"/>
    <n v="25"/>
    <n v="25"/>
  </r>
  <r>
    <n v="559"/>
    <x v="137"/>
    <s v="CUST559"/>
    <s v="Female"/>
    <n v="40"/>
    <s v="Clothing"/>
    <n v="4"/>
    <n v="300"/>
    <n v="1200"/>
  </r>
  <r>
    <n v="560"/>
    <x v="284"/>
    <s v="CUST560"/>
    <s v="Female"/>
    <n v="25"/>
    <s v="Electronics"/>
    <n v="1"/>
    <n v="50"/>
    <n v="50"/>
  </r>
  <r>
    <n v="561"/>
    <x v="203"/>
    <s v="CUST561"/>
    <s v="Female"/>
    <n v="64"/>
    <s v="Clothing"/>
    <n v="4"/>
    <n v="500"/>
    <n v="2000"/>
  </r>
  <r>
    <n v="562"/>
    <x v="69"/>
    <s v="CUST562"/>
    <s v="Male"/>
    <n v="54"/>
    <s v="Electronics"/>
    <n v="2"/>
    <n v="25"/>
    <n v="50"/>
  </r>
  <r>
    <n v="563"/>
    <x v="183"/>
    <s v="CUST563"/>
    <s v="Male"/>
    <n v="20"/>
    <s v="Clothing"/>
    <n v="2"/>
    <n v="30"/>
    <n v="60"/>
  </r>
  <r>
    <n v="564"/>
    <x v="208"/>
    <s v="CUST564"/>
    <s v="Male"/>
    <n v="50"/>
    <s v="Electronics"/>
    <n v="2"/>
    <n v="50"/>
    <n v="100"/>
  </r>
  <r>
    <n v="565"/>
    <x v="155"/>
    <s v="CUST565"/>
    <s v="Female"/>
    <n v="45"/>
    <s v="Beauty"/>
    <n v="2"/>
    <n v="30"/>
    <n v="60"/>
  </r>
  <r>
    <n v="566"/>
    <x v="92"/>
    <s v="CUST566"/>
    <s v="Female"/>
    <n v="64"/>
    <s v="Clothing"/>
    <n v="1"/>
    <n v="30"/>
    <n v="30"/>
  </r>
  <r>
    <n v="567"/>
    <x v="285"/>
    <s v="CUST567"/>
    <s v="Female"/>
    <n v="25"/>
    <s v="Clothing"/>
    <n v="3"/>
    <n v="300"/>
    <n v="900"/>
  </r>
  <r>
    <n v="568"/>
    <x v="286"/>
    <s v="CUST568"/>
    <s v="Female"/>
    <n v="51"/>
    <s v="Electronics"/>
    <n v="1"/>
    <n v="300"/>
    <n v="300"/>
  </r>
  <r>
    <n v="569"/>
    <x v="196"/>
    <s v="CUST569"/>
    <s v="Male"/>
    <n v="52"/>
    <s v="Electronics"/>
    <n v="4"/>
    <n v="50"/>
    <n v="200"/>
  </r>
  <r>
    <n v="570"/>
    <x v="196"/>
    <s v="CUST570"/>
    <s v="Male"/>
    <n v="49"/>
    <s v="Clothing"/>
    <n v="1"/>
    <n v="500"/>
    <n v="500"/>
  </r>
  <r>
    <n v="571"/>
    <x v="216"/>
    <s v="CUST571"/>
    <s v="Female"/>
    <n v="41"/>
    <s v="Electronics"/>
    <n v="1"/>
    <n v="50"/>
    <n v="50"/>
  </r>
  <r>
    <n v="572"/>
    <x v="175"/>
    <s v="CUST572"/>
    <s v="Male"/>
    <n v="31"/>
    <s v="Clothing"/>
    <n v="4"/>
    <n v="500"/>
    <n v="2000"/>
  </r>
  <r>
    <n v="573"/>
    <x v="270"/>
    <s v="CUST573"/>
    <s v="Male"/>
    <n v="49"/>
    <s v="Beauty"/>
    <n v="2"/>
    <n v="30"/>
    <n v="60"/>
  </r>
  <r>
    <n v="574"/>
    <x v="178"/>
    <s v="CUST574"/>
    <s v="Female"/>
    <n v="63"/>
    <s v="Electronics"/>
    <n v="2"/>
    <n v="25"/>
    <n v="50"/>
  </r>
  <r>
    <n v="575"/>
    <x v="287"/>
    <s v="CUST575"/>
    <s v="Male"/>
    <n v="60"/>
    <s v="Clothing"/>
    <n v="2"/>
    <n v="50"/>
    <n v="100"/>
  </r>
  <r>
    <n v="576"/>
    <x v="151"/>
    <s v="CUST576"/>
    <s v="Female"/>
    <n v="33"/>
    <s v="Beauty"/>
    <n v="3"/>
    <n v="50"/>
    <n v="150"/>
  </r>
  <r>
    <n v="577"/>
    <x v="146"/>
    <s v="CUST577"/>
    <s v="Male"/>
    <n v="21"/>
    <s v="Beauty"/>
    <n v="4"/>
    <n v="500"/>
    <n v="2000"/>
  </r>
  <r>
    <n v="578"/>
    <x v="232"/>
    <s v="CUST578"/>
    <s v="Female"/>
    <n v="54"/>
    <s v="Clothing"/>
    <n v="4"/>
    <n v="30"/>
    <n v="120"/>
  </r>
  <r>
    <n v="579"/>
    <x v="172"/>
    <s v="CUST579"/>
    <s v="Female"/>
    <n v="38"/>
    <s v="Electronics"/>
    <n v="1"/>
    <n v="30"/>
    <n v="30"/>
  </r>
  <r>
    <n v="580"/>
    <x v="237"/>
    <s v="CUST580"/>
    <s v="Female"/>
    <n v="31"/>
    <s v="Clothing"/>
    <n v="3"/>
    <n v="500"/>
    <n v="1500"/>
  </r>
  <r>
    <n v="581"/>
    <x v="245"/>
    <s v="CUST581"/>
    <s v="Female"/>
    <n v="48"/>
    <s v="Beauty"/>
    <n v="2"/>
    <n v="30"/>
    <n v="60"/>
  </r>
  <r>
    <n v="582"/>
    <x v="220"/>
    <s v="CUST582"/>
    <s v="Male"/>
    <n v="35"/>
    <s v="Clothing"/>
    <n v="3"/>
    <n v="300"/>
    <n v="900"/>
  </r>
  <r>
    <n v="583"/>
    <x v="288"/>
    <s v="CUST583"/>
    <s v="Female"/>
    <n v="24"/>
    <s v="Electronics"/>
    <n v="4"/>
    <n v="25"/>
    <n v="100"/>
  </r>
  <r>
    <n v="584"/>
    <x v="15"/>
    <s v="CUST584"/>
    <s v="Female"/>
    <n v="27"/>
    <s v="Beauty"/>
    <n v="4"/>
    <n v="50"/>
    <n v="200"/>
  </r>
  <r>
    <n v="585"/>
    <x v="217"/>
    <s v="CUST585"/>
    <s v="Female"/>
    <n v="24"/>
    <s v="Clothing"/>
    <n v="1"/>
    <n v="25"/>
    <n v="25"/>
  </r>
  <r>
    <n v="586"/>
    <x v="186"/>
    <s v="CUST586"/>
    <s v="Male"/>
    <n v="50"/>
    <s v="Electronics"/>
    <n v="1"/>
    <n v="50"/>
    <n v="50"/>
  </r>
  <r>
    <n v="587"/>
    <x v="276"/>
    <s v="CUST587"/>
    <s v="Female"/>
    <n v="40"/>
    <s v="Beauty"/>
    <n v="4"/>
    <n v="300"/>
    <n v="1200"/>
  </r>
  <r>
    <n v="588"/>
    <x v="164"/>
    <s v="CUST588"/>
    <s v="Male"/>
    <n v="38"/>
    <s v="Electronics"/>
    <n v="2"/>
    <n v="30"/>
    <n v="60"/>
  </r>
  <r>
    <n v="589"/>
    <x v="22"/>
    <s v="CUST589"/>
    <s v="Female"/>
    <n v="36"/>
    <s v="Beauty"/>
    <n v="2"/>
    <n v="500"/>
    <n v="1000"/>
  </r>
  <r>
    <n v="590"/>
    <x v="255"/>
    <s v="CUST590"/>
    <s v="Male"/>
    <n v="36"/>
    <s v="Clothing"/>
    <n v="3"/>
    <n v="300"/>
    <n v="900"/>
  </r>
  <r>
    <n v="591"/>
    <x v="2"/>
    <s v="CUST591"/>
    <s v="Male"/>
    <n v="53"/>
    <s v="Electronics"/>
    <n v="4"/>
    <n v="25"/>
    <n v="100"/>
  </r>
  <r>
    <n v="592"/>
    <x v="58"/>
    <s v="CUST592"/>
    <s v="Female"/>
    <n v="46"/>
    <s v="Beauty"/>
    <n v="4"/>
    <n v="500"/>
    <n v="2000"/>
  </r>
  <r>
    <n v="593"/>
    <x v="4"/>
    <s v="CUST593"/>
    <s v="Male"/>
    <n v="35"/>
    <s v="Electronics"/>
    <n v="2"/>
    <n v="30"/>
    <n v="60"/>
  </r>
  <r>
    <n v="594"/>
    <x v="152"/>
    <s v="CUST594"/>
    <s v="Female"/>
    <n v="19"/>
    <s v="Electronics"/>
    <n v="2"/>
    <n v="300"/>
    <n v="600"/>
  </r>
  <r>
    <n v="595"/>
    <x v="289"/>
    <s v="CUST595"/>
    <s v="Female"/>
    <n v="18"/>
    <s v="Clothing"/>
    <n v="4"/>
    <n v="500"/>
    <n v="2000"/>
  </r>
  <r>
    <n v="596"/>
    <x v="227"/>
    <s v="CUST596"/>
    <s v="Female"/>
    <n v="64"/>
    <s v="Electronics"/>
    <n v="1"/>
    <n v="300"/>
    <n v="300"/>
  </r>
  <r>
    <n v="597"/>
    <x v="290"/>
    <s v="CUST597"/>
    <s v="Male"/>
    <n v="22"/>
    <s v="Beauty"/>
    <n v="4"/>
    <n v="300"/>
    <n v="1200"/>
  </r>
  <r>
    <n v="598"/>
    <x v="291"/>
    <s v="CUST598"/>
    <s v="Male"/>
    <n v="37"/>
    <s v="Beauty"/>
    <n v="4"/>
    <n v="30"/>
    <n v="120"/>
  </r>
  <r>
    <n v="599"/>
    <x v="292"/>
    <s v="CUST599"/>
    <s v="Female"/>
    <n v="28"/>
    <s v="Beauty"/>
    <n v="2"/>
    <n v="50"/>
    <n v="100"/>
  </r>
  <r>
    <n v="600"/>
    <x v="293"/>
    <s v="CUST600"/>
    <s v="Female"/>
    <n v="59"/>
    <s v="Beauty"/>
    <n v="2"/>
    <n v="500"/>
    <n v="1000"/>
  </r>
  <r>
    <n v="601"/>
    <x v="294"/>
    <s v="CUST601"/>
    <s v="Male"/>
    <n v="19"/>
    <s v="Clothing"/>
    <n v="1"/>
    <n v="30"/>
    <n v="30"/>
  </r>
  <r>
    <n v="602"/>
    <x v="204"/>
    <s v="CUST602"/>
    <s v="Female"/>
    <n v="20"/>
    <s v="Electronics"/>
    <n v="1"/>
    <n v="300"/>
    <n v="300"/>
  </r>
  <r>
    <n v="603"/>
    <x v="295"/>
    <s v="CUST603"/>
    <s v="Female"/>
    <n v="40"/>
    <s v="Clothing"/>
    <n v="3"/>
    <n v="30"/>
    <n v="90"/>
  </r>
  <r>
    <n v="604"/>
    <x v="296"/>
    <s v="CUST604"/>
    <s v="Female"/>
    <n v="29"/>
    <s v="Electronics"/>
    <n v="4"/>
    <n v="50"/>
    <n v="200"/>
  </r>
  <r>
    <n v="605"/>
    <x v="104"/>
    <s v="CUST605"/>
    <s v="Male"/>
    <n v="37"/>
    <s v="Electronics"/>
    <n v="2"/>
    <n v="500"/>
    <n v="1000"/>
  </r>
  <r>
    <n v="606"/>
    <x v="179"/>
    <s v="CUST606"/>
    <s v="Male"/>
    <n v="22"/>
    <s v="Electronics"/>
    <n v="1"/>
    <n v="50"/>
    <n v="50"/>
  </r>
  <r>
    <n v="607"/>
    <x v="255"/>
    <s v="CUST607"/>
    <s v="Male"/>
    <n v="54"/>
    <s v="Clothing"/>
    <n v="3"/>
    <n v="25"/>
    <n v="75"/>
  </r>
  <r>
    <n v="608"/>
    <x v="92"/>
    <s v="CUST608"/>
    <s v="Female"/>
    <n v="55"/>
    <s v="Electronics"/>
    <n v="3"/>
    <n v="500"/>
    <n v="1500"/>
  </r>
  <r>
    <n v="609"/>
    <x v="80"/>
    <s v="CUST609"/>
    <s v="Female"/>
    <n v="47"/>
    <s v="Clothing"/>
    <n v="2"/>
    <n v="50"/>
    <n v="100"/>
  </r>
  <r>
    <n v="610"/>
    <x v="297"/>
    <s v="CUST610"/>
    <s v="Female"/>
    <n v="26"/>
    <s v="Beauty"/>
    <n v="2"/>
    <n v="300"/>
    <n v="600"/>
  </r>
  <r>
    <n v="611"/>
    <x v="130"/>
    <s v="CUST611"/>
    <s v="Male"/>
    <n v="51"/>
    <s v="Beauty"/>
    <n v="3"/>
    <n v="500"/>
    <n v="1500"/>
  </r>
  <r>
    <n v="612"/>
    <x v="298"/>
    <s v="CUST612"/>
    <s v="Female"/>
    <n v="61"/>
    <s v="Electronics"/>
    <n v="1"/>
    <n v="500"/>
    <n v="500"/>
  </r>
  <r>
    <n v="613"/>
    <x v="26"/>
    <s v="CUST613"/>
    <s v="Female"/>
    <n v="52"/>
    <s v="Clothing"/>
    <n v="3"/>
    <n v="30"/>
    <n v="90"/>
  </r>
  <r>
    <n v="614"/>
    <x v="258"/>
    <s v="CUST614"/>
    <s v="Female"/>
    <n v="39"/>
    <s v="Beauty"/>
    <n v="4"/>
    <n v="300"/>
    <n v="1200"/>
  </r>
  <r>
    <n v="615"/>
    <x v="204"/>
    <s v="CUST615"/>
    <s v="Female"/>
    <n v="61"/>
    <s v="Clothing"/>
    <n v="4"/>
    <n v="25"/>
    <n v="100"/>
  </r>
  <r>
    <n v="616"/>
    <x v="299"/>
    <s v="CUST616"/>
    <s v="Male"/>
    <n v="41"/>
    <s v="Clothing"/>
    <n v="2"/>
    <n v="50"/>
    <n v="100"/>
  </r>
  <r>
    <n v="617"/>
    <x v="300"/>
    <s v="CUST617"/>
    <s v="Male"/>
    <n v="34"/>
    <s v="Electronics"/>
    <n v="1"/>
    <n v="30"/>
    <n v="30"/>
  </r>
  <r>
    <n v="618"/>
    <x v="197"/>
    <s v="CUST618"/>
    <s v="Female"/>
    <n v="27"/>
    <s v="Beauty"/>
    <n v="1"/>
    <n v="50"/>
    <n v="50"/>
  </r>
  <r>
    <n v="619"/>
    <x v="81"/>
    <s v="CUST619"/>
    <s v="Male"/>
    <n v="47"/>
    <s v="Electronics"/>
    <n v="4"/>
    <n v="25"/>
    <n v="100"/>
  </r>
  <r>
    <n v="620"/>
    <x v="193"/>
    <s v="CUST620"/>
    <s v="Male"/>
    <n v="63"/>
    <s v="Electronics"/>
    <n v="3"/>
    <n v="25"/>
    <n v="75"/>
  </r>
  <r>
    <n v="621"/>
    <x v="301"/>
    <s v="CUST621"/>
    <s v="Female"/>
    <n v="40"/>
    <s v="Beauty"/>
    <n v="2"/>
    <n v="500"/>
    <n v="1000"/>
  </r>
  <r>
    <n v="622"/>
    <x v="290"/>
    <s v="CUST622"/>
    <s v="Female"/>
    <n v="49"/>
    <s v="Beauty"/>
    <n v="3"/>
    <n v="25"/>
    <n v="75"/>
  </r>
  <r>
    <n v="623"/>
    <x v="239"/>
    <s v="CUST623"/>
    <s v="Male"/>
    <n v="34"/>
    <s v="Clothing"/>
    <n v="3"/>
    <n v="50"/>
    <n v="150"/>
  </r>
  <r>
    <n v="624"/>
    <x v="300"/>
    <s v="CUST624"/>
    <s v="Female"/>
    <n v="34"/>
    <s v="Beauty"/>
    <n v="3"/>
    <n v="300"/>
    <n v="900"/>
  </r>
  <r>
    <n v="625"/>
    <x v="236"/>
    <s v="CUST625"/>
    <s v="Male"/>
    <n v="31"/>
    <s v="Clothing"/>
    <n v="1"/>
    <n v="300"/>
    <n v="300"/>
  </r>
  <r>
    <n v="626"/>
    <x v="136"/>
    <s v="CUST626"/>
    <s v="Female"/>
    <n v="26"/>
    <s v="Clothing"/>
    <n v="4"/>
    <n v="500"/>
    <n v="2000"/>
  </r>
  <r>
    <n v="627"/>
    <x v="257"/>
    <s v="CUST627"/>
    <s v="Male"/>
    <n v="57"/>
    <s v="Clothing"/>
    <n v="1"/>
    <n v="50"/>
    <n v="50"/>
  </r>
  <r>
    <n v="628"/>
    <x v="215"/>
    <s v="CUST628"/>
    <s v="Female"/>
    <n v="19"/>
    <s v="Beauty"/>
    <n v="4"/>
    <n v="50"/>
    <n v="200"/>
  </r>
  <r>
    <n v="629"/>
    <x v="302"/>
    <s v="CUST629"/>
    <s v="Male"/>
    <n v="62"/>
    <s v="Electronics"/>
    <n v="2"/>
    <n v="25"/>
    <n v="50"/>
  </r>
  <r>
    <n v="630"/>
    <x v="196"/>
    <s v="CUST630"/>
    <s v="Male"/>
    <n v="42"/>
    <s v="Clothing"/>
    <n v="2"/>
    <n v="50"/>
    <n v="100"/>
  </r>
  <r>
    <n v="631"/>
    <x v="235"/>
    <s v="CUST631"/>
    <s v="Male"/>
    <n v="56"/>
    <s v="Electronics"/>
    <n v="3"/>
    <n v="30"/>
    <n v="90"/>
  </r>
  <r>
    <n v="632"/>
    <x v="18"/>
    <s v="CUST632"/>
    <s v="Female"/>
    <n v="26"/>
    <s v="Electronics"/>
    <n v="4"/>
    <n v="25"/>
    <n v="100"/>
  </r>
  <r>
    <n v="633"/>
    <x v="252"/>
    <s v="CUST633"/>
    <s v="Male"/>
    <n v="39"/>
    <s v="Beauty"/>
    <n v="4"/>
    <n v="30"/>
    <n v="120"/>
  </r>
  <r>
    <n v="634"/>
    <x v="283"/>
    <s v="CUST634"/>
    <s v="Male"/>
    <n v="60"/>
    <s v="Electronics"/>
    <n v="4"/>
    <n v="500"/>
    <n v="2000"/>
  </r>
  <r>
    <n v="635"/>
    <x v="303"/>
    <s v="CUST635"/>
    <s v="Female"/>
    <n v="63"/>
    <s v="Electronics"/>
    <n v="3"/>
    <n v="300"/>
    <n v="900"/>
  </r>
  <r>
    <n v="636"/>
    <x v="31"/>
    <s v="CUST636"/>
    <s v="Female"/>
    <n v="21"/>
    <s v="Beauty"/>
    <n v="3"/>
    <n v="500"/>
    <n v="1500"/>
  </r>
  <r>
    <n v="637"/>
    <x v="152"/>
    <s v="CUST637"/>
    <s v="Male"/>
    <n v="43"/>
    <s v="Clothing"/>
    <n v="2"/>
    <n v="300"/>
    <n v="600"/>
  </r>
  <r>
    <n v="638"/>
    <x v="304"/>
    <s v="CUST638"/>
    <s v="Male"/>
    <n v="46"/>
    <s v="Electronics"/>
    <n v="1"/>
    <n v="500"/>
    <n v="500"/>
  </r>
  <r>
    <n v="639"/>
    <x v="305"/>
    <s v="CUST639"/>
    <s v="Female"/>
    <n v="62"/>
    <s v="Beauty"/>
    <n v="4"/>
    <n v="50"/>
    <n v="200"/>
  </r>
  <r>
    <n v="640"/>
    <x v="98"/>
    <s v="CUST640"/>
    <s v="Female"/>
    <n v="51"/>
    <s v="Electronics"/>
    <n v="4"/>
    <n v="30"/>
    <n v="120"/>
  </r>
  <r>
    <n v="641"/>
    <x v="250"/>
    <s v="CUST641"/>
    <s v="Female"/>
    <n v="40"/>
    <s v="Electronics"/>
    <n v="1"/>
    <n v="300"/>
    <n v="300"/>
  </r>
  <r>
    <n v="642"/>
    <x v="247"/>
    <s v="CUST642"/>
    <s v="Female"/>
    <n v="54"/>
    <s v="Clothing"/>
    <n v="4"/>
    <n v="25"/>
    <n v="100"/>
  </r>
  <r>
    <n v="643"/>
    <x v="272"/>
    <s v="CUST643"/>
    <s v="Female"/>
    <n v="28"/>
    <s v="Electronics"/>
    <n v="3"/>
    <n v="30"/>
    <n v="90"/>
  </r>
  <r>
    <n v="644"/>
    <x v="147"/>
    <s v="CUST644"/>
    <s v="Male"/>
    <n v="23"/>
    <s v="Beauty"/>
    <n v="3"/>
    <n v="25"/>
    <n v="75"/>
  </r>
  <r>
    <n v="645"/>
    <x v="131"/>
    <s v="CUST645"/>
    <s v="Female"/>
    <n v="35"/>
    <s v="Electronics"/>
    <n v="4"/>
    <n v="30"/>
    <n v="120"/>
  </r>
  <r>
    <n v="646"/>
    <x v="143"/>
    <s v="CUST646"/>
    <s v="Male"/>
    <n v="38"/>
    <s v="Clothing"/>
    <n v="3"/>
    <n v="30"/>
    <n v="90"/>
  </r>
  <r>
    <n v="647"/>
    <x v="3"/>
    <s v="CUST647"/>
    <s v="Male"/>
    <n v="59"/>
    <s v="Clothing"/>
    <n v="3"/>
    <n v="500"/>
    <n v="1500"/>
  </r>
  <r>
    <n v="648"/>
    <x v="306"/>
    <s v="CUST648"/>
    <s v="Male"/>
    <n v="53"/>
    <s v="Beauty"/>
    <n v="4"/>
    <n v="300"/>
    <n v="1200"/>
  </r>
  <r>
    <n v="649"/>
    <x v="307"/>
    <s v="CUST649"/>
    <s v="Female"/>
    <n v="58"/>
    <s v="Clothing"/>
    <n v="2"/>
    <n v="300"/>
    <n v="600"/>
  </r>
  <r>
    <n v="650"/>
    <x v="158"/>
    <s v="CUST650"/>
    <s v="Male"/>
    <n v="55"/>
    <s v="Electronics"/>
    <n v="1"/>
    <n v="30"/>
    <n v="30"/>
  </r>
  <r>
    <n v="651"/>
    <x v="203"/>
    <s v="CUST651"/>
    <s v="Male"/>
    <n v="51"/>
    <s v="Clothing"/>
    <n v="3"/>
    <n v="50"/>
    <n v="150"/>
  </r>
  <r>
    <n v="652"/>
    <x v="217"/>
    <s v="CUST652"/>
    <s v="Female"/>
    <n v="34"/>
    <s v="Beauty"/>
    <n v="2"/>
    <n v="50"/>
    <n v="100"/>
  </r>
  <r>
    <n v="653"/>
    <x v="241"/>
    <s v="CUST653"/>
    <s v="Male"/>
    <n v="54"/>
    <s v="Clothing"/>
    <n v="3"/>
    <n v="25"/>
    <n v="75"/>
  </r>
  <r>
    <n v="654"/>
    <x v="288"/>
    <s v="CUST654"/>
    <s v="Male"/>
    <n v="42"/>
    <s v="Clothing"/>
    <n v="3"/>
    <n v="25"/>
    <n v="75"/>
  </r>
  <r>
    <n v="655"/>
    <x v="308"/>
    <s v="CUST655"/>
    <s v="Female"/>
    <n v="55"/>
    <s v="Clothing"/>
    <n v="1"/>
    <n v="500"/>
    <n v="500"/>
  </r>
  <r>
    <n v="656"/>
    <x v="135"/>
    <s v="CUST656"/>
    <s v="Male"/>
    <n v="29"/>
    <s v="Beauty"/>
    <n v="3"/>
    <n v="30"/>
    <n v="90"/>
  </r>
  <r>
    <n v="657"/>
    <x v="213"/>
    <s v="CUST657"/>
    <s v="Male"/>
    <n v="40"/>
    <s v="Clothing"/>
    <n v="1"/>
    <n v="25"/>
    <n v="25"/>
  </r>
  <r>
    <n v="658"/>
    <x v="105"/>
    <s v="CUST658"/>
    <s v="Male"/>
    <n v="59"/>
    <s v="Clothing"/>
    <n v="1"/>
    <n v="25"/>
    <n v="25"/>
  </r>
  <r>
    <n v="659"/>
    <x v="309"/>
    <s v="CUST659"/>
    <s v="Female"/>
    <n v="39"/>
    <s v="Electronics"/>
    <n v="1"/>
    <n v="30"/>
    <n v="30"/>
  </r>
  <r>
    <n v="660"/>
    <x v="310"/>
    <s v="CUST660"/>
    <s v="Female"/>
    <n v="38"/>
    <s v="Beauty"/>
    <n v="2"/>
    <n v="500"/>
    <n v="1000"/>
  </r>
  <r>
    <n v="661"/>
    <x v="295"/>
    <s v="CUST661"/>
    <s v="Female"/>
    <n v="44"/>
    <s v="Clothing"/>
    <n v="4"/>
    <n v="25"/>
    <n v="100"/>
  </r>
  <r>
    <n v="662"/>
    <x v="311"/>
    <s v="CUST662"/>
    <s v="Male"/>
    <n v="48"/>
    <s v="Beauty"/>
    <n v="2"/>
    <n v="500"/>
    <n v="1000"/>
  </r>
  <r>
    <n v="663"/>
    <x v="111"/>
    <s v="CUST663"/>
    <s v="Male"/>
    <n v="23"/>
    <s v="Clothing"/>
    <n v="4"/>
    <n v="300"/>
    <n v="1200"/>
  </r>
  <r>
    <n v="664"/>
    <x v="251"/>
    <s v="CUST664"/>
    <s v="Female"/>
    <n v="44"/>
    <s v="Clothing"/>
    <n v="4"/>
    <n v="500"/>
    <n v="2000"/>
  </r>
  <r>
    <n v="665"/>
    <x v="175"/>
    <s v="CUST665"/>
    <s v="Male"/>
    <n v="57"/>
    <s v="Clothing"/>
    <n v="1"/>
    <n v="50"/>
    <n v="50"/>
  </r>
  <r>
    <n v="666"/>
    <x v="114"/>
    <s v="CUST666"/>
    <s v="Male"/>
    <n v="51"/>
    <s v="Electronics"/>
    <n v="3"/>
    <n v="50"/>
    <n v="150"/>
  </r>
  <r>
    <n v="667"/>
    <x v="291"/>
    <s v="CUST667"/>
    <s v="Female"/>
    <n v="29"/>
    <s v="Electronics"/>
    <n v="1"/>
    <n v="500"/>
    <n v="500"/>
  </r>
  <r>
    <n v="668"/>
    <x v="180"/>
    <s v="CUST668"/>
    <s v="Female"/>
    <n v="62"/>
    <s v="Electronics"/>
    <n v="3"/>
    <n v="50"/>
    <n v="150"/>
  </r>
  <r>
    <n v="669"/>
    <x v="171"/>
    <s v="CUST669"/>
    <s v="Male"/>
    <n v="24"/>
    <s v="Beauty"/>
    <n v="4"/>
    <n v="300"/>
    <n v="1200"/>
  </r>
  <r>
    <n v="670"/>
    <x v="209"/>
    <s v="CUST670"/>
    <s v="Male"/>
    <n v="27"/>
    <s v="Beauty"/>
    <n v="1"/>
    <n v="30"/>
    <n v="30"/>
  </r>
  <r>
    <n v="671"/>
    <x v="286"/>
    <s v="CUST671"/>
    <s v="Male"/>
    <n v="62"/>
    <s v="Electronics"/>
    <n v="3"/>
    <n v="50"/>
    <n v="150"/>
  </r>
  <r>
    <n v="672"/>
    <x v="291"/>
    <s v="CUST672"/>
    <s v="Female"/>
    <n v="34"/>
    <s v="Beauty"/>
    <n v="2"/>
    <n v="50"/>
    <n v="100"/>
  </r>
  <r>
    <n v="673"/>
    <x v="190"/>
    <s v="CUST673"/>
    <s v="Female"/>
    <n v="43"/>
    <s v="Clothing"/>
    <n v="3"/>
    <n v="500"/>
    <n v="1500"/>
  </r>
  <r>
    <n v="674"/>
    <x v="312"/>
    <s v="CUST674"/>
    <s v="Female"/>
    <n v="38"/>
    <s v="Clothing"/>
    <n v="1"/>
    <n v="300"/>
    <n v="300"/>
  </r>
  <r>
    <n v="675"/>
    <x v="279"/>
    <s v="CUST675"/>
    <s v="Female"/>
    <n v="45"/>
    <s v="Clothing"/>
    <n v="2"/>
    <n v="30"/>
    <n v="60"/>
  </r>
  <r>
    <n v="676"/>
    <x v="202"/>
    <s v="CUST676"/>
    <s v="Male"/>
    <n v="63"/>
    <s v="Electronics"/>
    <n v="3"/>
    <n v="500"/>
    <n v="1500"/>
  </r>
  <r>
    <n v="677"/>
    <x v="101"/>
    <s v="CUST677"/>
    <s v="Female"/>
    <n v="19"/>
    <s v="Beauty"/>
    <n v="3"/>
    <n v="500"/>
    <n v="1500"/>
  </r>
  <r>
    <n v="678"/>
    <x v="204"/>
    <s v="CUST678"/>
    <s v="Female"/>
    <n v="60"/>
    <s v="Electronics"/>
    <n v="3"/>
    <n v="300"/>
    <n v="900"/>
  </r>
  <r>
    <n v="679"/>
    <x v="166"/>
    <s v="CUST679"/>
    <s v="Female"/>
    <n v="18"/>
    <s v="Beauty"/>
    <n v="3"/>
    <n v="30"/>
    <n v="90"/>
  </r>
  <r>
    <n v="680"/>
    <x v="293"/>
    <s v="CUST680"/>
    <s v="Female"/>
    <n v="53"/>
    <s v="Clothing"/>
    <n v="3"/>
    <n v="300"/>
    <n v="900"/>
  </r>
  <r>
    <n v="681"/>
    <x v="37"/>
    <s v="CUST681"/>
    <s v="Female"/>
    <n v="43"/>
    <s v="Electronics"/>
    <n v="2"/>
    <n v="30"/>
    <n v="60"/>
  </r>
  <r>
    <n v="682"/>
    <x v="211"/>
    <s v="CUST682"/>
    <s v="Male"/>
    <n v="46"/>
    <s v="Beauty"/>
    <n v="4"/>
    <n v="300"/>
    <n v="1200"/>
  </r>
  <r>
    <n v="683"/>
    <x v="30"/>
    <s v="CUST683"/>
    <s v="Male"/>
    <n v="38"/>
    <s v="Beauty"/>
    <n v="2"/>
    <n v="500"/>
    <n v="1000"/>
  </r>
  <r>
    <n v="684"/>
    <x v="313"/>
    <s v="CUST684"/>
    <s v="Female"/>
    <n v="28"/>
    <s v="Clothing"/>
    <n v="2"/>
    <n v="500"/>
    <n v="1000"/>
  </r>
  <r>
    <n v="685"/>
    <x v="132"/>
    <s v="CUST685"/>
    <s v="Male"/>
    <n v="57"/>
    <s v="Electronics"/>
    <n v="2"/>
    <n v="25"/>
    <n v="50"/>
  </r>
  <r>
    <n v="686"/>
    <x v="202"/>
    <s v="CUST686"/>
    <s v="Female"/>
    <n v="28"/>
    <s v="Electronics"/>
    <n v="4"/>
    <n v="50"/>
    <n v="200"/>
  </r>
  <r>
    <n v="687"/>
    <x v="25"/>
    <s v="CUST687"/>
    <s v="Female"/>
    <n v="53"/>
    <s v="Electronics"/>
    <n v="1"/>
    <n v="300"/>
    <n v="300"/>
  </r>
  <r>
    <n v="688"/>
    <x v="99"/>
    <s v="CUST688"/>
    <s v="Male"/>
    <n v="56"/>
    <s v="Clothing"/>
    <n v="4"/>
    <n v="25"/>
    <n v="100"/>
  </r>
  <r>
    <n v="689"/>
    <x v="9"/>
    <s v="CUST689"/>
    <s v="Male"/>
    <n v="57"/>
    <s v="Electronics"/>
    <n v="2"/>
    <n v="50"/>
    <n v="100"/>
  </r>
  <r>
    <n v="690"/>
    <x v="19"/>
    <s v="CUST690"/>
    <s v="Female"/>
    <n v="52"/>
    <s v="Clothing"/>
    <n v="3"/>
    <n v="300"/>
    <n v="900"/>
  </r>
  <r>
    <n v="691"/>
    <x v="26"/>
    <s v="CUST691"/>
    <s v="Female"/>
    <n v="51"/>
    <s v="Clothing"/>
    <n v="3"/>
    <n v="30"/>
    <n v="90"/>
  </r>
  <r>
    <n v="692"/>
    <x v="206"/>
    <s v="CUST692"/>
    <s v="Female"/>
    <n v="64"/>
    <s v="Clothing"/>
    <n v="2"/>
    <n v="50"/>
    <n v="100"/>
  </r>
  <r>
    <n v="693"/>
    <x v="26"/>
    <s v="CUST693"/>
    <s v="Male"/>
    <n v="41"/>
    <s v="Beauty"/>
    <n v="3"/>
    <n v="500"/>
    <n v="1500"/>
  </r>
  <r>
    <n v="694"/>
    <x v="241"/>
    <s v="CUST694"/>
    <s v="Female"/>
    <n v="39"/>
    <s v="Electronics"/>
    <n v="2"/>
    <n v="25"/>
    <n v="50"/>
  </r>
  <r>
    <n v="695"/>
    <x v="269"/>
    <s v="CUST695"/>
    <s v="Female"/>
    <n v="22"/>
    <s v="Electronics"/>
    <n v="3"/>
    <n v="50"/>
    <n v="150"/>
  </r>
  <r>
    <n v="696"/>
    <x v="147"/>
    <s v="CUST696"/>
    <s v="Female"/>
    <n v="50"/>
    <s v="Clothing"/>
    <n v="4"/>
    <n v="50"/>
    <n v="200"/>
  </r>
  <r>
    <n v="697"/>
    <x v="267"/>
    <s v="CUST697"/>
    <s v="Male"/>
    <n v="53"/>
    <s v="Clothing"/>
    <n v="1"/>
    <n v="500"/>
    <n v="500"/>
  </r>
  <r>
    <n v="698"/>
    <x v="202"/>
    <s v="CUST698"/>
    <s v="Female"/>
    <n v="64"/>
    <s v="Electronics"/>
    <n v="1"/>
    <n v="300"/>
    <n v="300"/>
  </r>
  <r>
    <n v="699"/>
    <x v="36"/>
    <s v="CUST699"/>
    <s v="Female"/>
    <n v="37"/>
    <s v="Clothing"/>
    <n v="4"/>
    <n v="30"/>
    <n v="120"/>
  </r>
  <r>
    <n v="700"/>
    <x v="174"/>
    <s v="CUST700"/>
    <s v="Male"/>
    <n v="36"/>
    <s v="Electronics"/>
    <n v="4"/>
    <n v="500"/>
    <n v="2000"/>
  </r>
  <r>
    <n v="701"/>
    <x v="266"/>
    <s v="CUST701"/>
    <s v="Female"/>
    <n v="52"/>
    <s v="Beauty"/>
    <n v="2"/>
    <n v="30"/>
    <n v="60"/>
  </r>
  <r>
    <n v="702"/>
    <x v="282"/>
    <s v="CUST702"/>
    <s v="Female"/>
    <n v="60"/>
    <s v="Clothing"/>
    <n v="2"/>
    <n v="300"/>
    <n v="600"/>
  </r>
  <r>
    <n v="703"/>
    <x v="154"/>
    <s v="CUST703"/>
    <s v="Male"/>
    <n v="34"/>
    <s v="Electronics"/>
    <n v="2"/>
    <n v="50"/>
    <n v="100"/>
  </r>
  <r>
    <n v="704"/>
    <x v="117"/>
    <s v="CUST704"/>
    <s v="Female"/>
    <n v="62"/>
    <s v="Clothing"/>
    <n v="3"/>
    <n v="30"/>
    <n v="90"/>
  </r>
  <r>
    <n v="705"/>
    <x v="150"/>
    <s v="CUST705"/>
    <s v="Male"/>
    <n v="60"/>
    <s v="Electronics"/>
    <n v="2"/>
    <n v="25"/>
    <n v="50"/>
  </r>
  <r>
    <n v="706"/>
    <x v="229"/>
    <s v="CUST706"/>
    <s v="Male"/>
    <n v="51"/>
    <s v="Electronics"/>
    <n v="4"/>
    <n v="25"/>
    <n v="100"/>
  </r>
  <r>
    <n v="707"/>
    <x v="77"/>
    <s v="CUST707"/>
    <s v="Female"/>
    <n v="26"/>
    <s v="Clothing"/>
    <n v="1"/>
    <n v="500"/>
    <n v="500"/>
  </r>
  <r>
    <n v="708"/>
    <x v="20"/>
    <s v="CUST708"/>
    <s v="Female"/>
    <n v="43"/>
    <s v="Beauty"/>
    <n v="3"/>
    <n v="300"/>
    <n v="900"/>
  </r>
  <r>
    <n v="709"/>
    <x v="314"/>
    <s v="CUST709"/>
    <s v="Female"/>
    <n v="19"/>
    <s v="Electronics"/>
    <n v="2"/>
    <n v="500"/>
    <n v="1000"/>
  </r>
  <r>
    <n v="710"/>
    <x v="315"/>
    <s v="CUST710"/>
    <s v="Female"/>
    <n v="26"/>
    <s v="Electronics"/>
    <n v="3"/>
    <n v="500"/>
    <n v="1500"/>
  </r>
  <r>
    <n v="711"/>
    <x v="230"/>
    <s v="CUST711"/>
    <s v="Male"/>
    <n v="26"/>
    <s v="Electronics"/>
    <n v="3"/>
    <n v="500"/>
    <n v="1500"/>
  </r>
  <r>
    <n v="712"/>
    <x v="237"/>
    <s v="CUST712"/>
    <s v="Female"/>
    <n v="57"/>
    <s v="Beauty"/>
    <n v="2"/>
    <n v="25"/>
    <n v="50"/>
  </r>
  <r>
    <n v="713"/>
    <x v="20"/>
    <s v="CUST713"/>
    <s v="Male"/>
    <n v="34"/>
    <s v="Beauty"/>
    <n v="3"/>
    <n v="25"/>
    <n v="75"/>
  </r>
  <r>
    <n v="714"/>
    <x v="316"/>
    <s v="CUST714"/>
    <s v="Female"/>
    <n v="18"/>
    <s v="Clothing"/>
    <n v="1"/>
    <n v="500"/>
    <n v="500"/>
  </r>
  <r>
    <n v="715"/>
    <x v="95"/>
    <s v="CUST715"/>
    <s v="Female"/>
    <n v="42"/>
    <s v="Beauty"/>
    <n v="4"/>
    <n v="25"/>
    <n v="100"/>
  </r>
  <r>
    <n v="716"/>
    <x v="102"/>
    <s v="CUST716"/>
    <s v="Female"/>
    <n v="60"/>
    <s v="Clothing"/>
    <n v="4"/>
    <n v="300"/>
    <n v="1200"/>
  </r>
  <r>
    <n v="717"/>
    <x v="317"/>
    <s v="CUST717"/>
    <s v="Male"/>
    <n v="57"/>
    <s v="Clothing"/>
    <n v="1"/>
    <n v="500"/>
    <n v="500"/>
  </r>
  <r>
    <n v="718"/>
    <x v="78"/>
    <s v="CUST718"/>
    <s v="Female"/>
    <n v="59"/>
    <s v="Beauty"/>
    <n v="3"/>
    <n v="25"/>
    <n v="75"/>
  </r>
  <r>
    <n v="719"/>
    <x v="194"/>
    <s v="CUST719"/>
    <s v="Female"/>
    <n v="42"/>
    <s v="Clothing"/>
    <n v="2"/>
    <n v="30"/>
    <n v="60"/>
  </r>
  <r>
    <n v="720"/>
    <x v="197"/>
    <s v="CUST720"/>
    <s v="Female"/>
    <n v="56"/>
    <s v="Beauty"/>
    <n v="3"/>
    <n v="500"/>
    <n v="1500"/>
  </r>
  <r>
    <n v="721"/>
    <x v="224"/>
    <s v="CUST721"/>
    <s v="Female"/>
    <n v="52"/>
    <s v="Clothing"/>
    <n v="1"/>
    <n v="500"/>
    <n v="500"/>
  </r>
  <r>
    <n v="722"/>
    <x v="37"/>
    <s v="CUST722"/>
    <s v="Male"/>
    <n v="20"/>
    <s v="Beauty"/>
    <n v="3"/>
    <n v="300"/>
    <n v="900"/>
  </r>
  <r>
    <n v="723"/>
    <x v="278"/>
    <s v="CUST723"/>
    <s v="Female"/>
    <n v="54"/>
    <s v="Beauty"/>
    <n v="4"/>
    <n v="50"/>
    <n v="200"/>
  </r>
  <r>
    <n v="724"/>
    <x v="90"/>
    <s v="CUST724"/>
    <s v="Male"/>
    <n v="61"/>
    <s v="Clothing"/>
    <n v="3"/>
    <n v="50"/>
    <n v="150"/>
  </r>
  <r>
    <n v="725"/>
    <x v="63"/>
    <s v="CUST725"/>
    <s v="Male"/>
    <n v="61"/>
    <s v="Electronics"/>
    <n v="1"/>
    <n v="300"/>
    <n v="300"/>
  </r>
  <r>
    <n v="726"/>
    <x v="278"/>
    <s v="CUST726"/>
    <s v="Male"/>
    <n v="47"/>
    <s v="Clothing"/>
    <n v="4"/>
    <n v="300"/>
    <n v="1200"/>
  </r>
  <r>
    <n v="727"/>
    <x v="36"/>
    <s v="CUST727"/>
    <s v="Male"/>
    <n v="55"/>
    <s v="Beauty"/>
    <n v="3"/>
    <n v="300"/>
    <n v="900"/>
  </r>
  <r>
    <n v="728"/>
    <x v="37"/>
    <s v="CUST728"/>
    <s v="Male"/>
    <n v="51"/>
    <s v="Electronics"/>
    <n v="3"/>
    <n v="50"/>
    <n v="150"/>
  </r>
  <r>
    <n v="729"/>
    <x v="29"/>
    <s v="CUST729"/>
    <s v="Male"/>
    <n v="29"/>
    <s v="Clothing"/>
    <n v="4"/>
    <n v="300"/>
    <n v="1200"/>
  </r>
  <r>
    <n v="730"/>
    <x v="279"/>
    <s v="CUST730"/>
    <s v="Female"/>
    <n v="36"/>
    <s v="Clothing"/>
    <n v="2"/>
    <n v="25"/>
    <n v="50"/>
  </r>
  <r>
    <n v="731"/>
    <x v="318"/>
    <s v="CUST731"/>
    <s v="Male"/>
    <n v="54"/>
    <s v="Clothing"/>
    <n v="4"/>
    <n v="500"/>
    <n v="2000"/>
  </r>
  <r>
    <n v="732"/>
    <x v="213"/>
    <s v="CUST732"/>
    <s v="Male"/>
    <n v="61"/>
    <s v="Electronics"/>
    <n v="2"/>
    <n v="500"/>
    <n v="1000"/>
  </r>
  <r>
    <n v="733"/>
    <x v="261"/>
    <s v="CUST733"/>
    <s v="Male"/>
    <n v="34"/>
    <s v="Beauty"/>
    <n v="1"/>
    <n v="30"/>
    <n v="30"/>
  </r>
  <r>
    <n v="734"/>
    <x v="141"/>
    <s v="CUST734"/>
    <s v="Female"/>
    <n v="27"/>
    <s v="Clothing"/>
    <n v="1"/>
    <n v="30"/>
    <n v="30"/>
  </r>
  <r>
    <n v="735"/>
    <x v="135"/>
    <s v="CUST735"/>
    <s v="Female"/>
    <n v="64"/>
    <s v="Clothing"/>
    <n v="4"/>
    <n v="500"/>
    <n v="2000"/>
  </r>
  <r>
    <n v="736"/>
    <x v="246"/>
    <s v="CUST736"/>
    <s v="Male"/>
    <n v="29"/>
    <s v="Clothing"/>
    <n v="4"/>
    <n v="25"/>
    <n v="100"/>
  </r>
  <r>
    <n v="737"/>
    <x v="263"/>
    <s v="CUST737"/>
    <s v="Female"/>
    <n v="33"/>
    <s v="Clothing"/>
    <n v="1"/>
    <n v="50"/>
    <n v="50"/>
  </r>
  <r>
    <n v="738"/>
    <x v="5"/>
    <s v="CUST738"/>
    <s v="Male"/>
    <n v="41"/>
    <s v="Clothing"/>
    <n v="2"/>
    <n v="50"/>
    <n v="100"/>
  </r>
  <r>
    <n v="739"/>
    <x v="23"/>
    <s v="CUST739"/>
    <s v="Male"/>
    <n v="36"/>
    <s v="Beauty"/>
    <n v="1"/>
    <n v="25"/>
    <n v="25"/>
  </r>
  <r>
    <n v="740"/>
    <x v="57"/>
    <s v="CUST740"/>
    <s v="Female"/>
    <n v="25"/>
    <s v="Beauty"/>
    <n v="4"/>
    <n v="50"/>
    <n v="200"/>
  </r>
  <r>
    <n v="741"/>
    <x v="198"/>
    <s v="CUST741"/>
    <s v="Male"/>
    <n v="48"/>
    <s v="Clothing"/>
    <n v="1"/>
    <n v="300"/>
    <n v="300"/>
  </r>
  <r>
    <n v="742"/>
    <x v="219"/>
    <s v="CUST742"/>
    <s v="Female"/>
    <n v="38"/>
    <s v="Electronics"/>
    <n v="4"/>
    <n v="500"/>
    <n v="2000"/>
  </r>
  <r>
    <n v="743"/>
    <x v="14"/>
    <s v="CUST743"/>
    <s v="Female"/>
    <n v="34"/>
    <s v="Beauty"/>
    <n v="4"/>
    <n v="500"/>
    <n v="2000"/>
  </r>
  <r>
    <n v="744"/>
    <x v="98"/>
    <s v="CUST744"/>
    <s v="Male"/>
    <n v="40"/>
    <s v="Electronics"/>
    <n v="1"/>
    <n v="25"/>
    <n v="25"/>
  </r>
  <r>
    <n v="745"/>
    <x v="157"/>
    <s v="CUST745"/>
    <s v="Male"/>
    <n v="54"/>
    <s v="Beauty"/>
    <n v="2"/>
    <n v="50"/>
    <n v="100"/>
  </r>
  <r>
    <n v="746"/>
    <x v="166"/>
    <s v="CUST746"/>
    <s v="Female"/>
    <n v="33"/>
    <s v="Clothing"/>
    <n v="3"/>
    <n v="30"/>
    <n v="90"/>
  </r>
  <r>
    <n v="747"/>
    <x v="229"/>
    <s v="CUST747"/>
    <s v="Male"/>
    <n v="23"/>
    <s v="Beauty"/>
    <n v="1"/>
    <n v="30"/>
    <n v="30"/>
  </r>
  <r>
    <n v="748"/>
    <x v="111"/>
    <s v="CUST748"/>
    <s v="Male"/>
    <n v="25"/>
    <s v="Clothing"/>
    <n v="3"/>
    <n v="50"/>
    <n v="150"/>
  </r>
  <r>
    <n v="749"/>
    <x v="143"/>
    <s v="CUST749"/>
    <s v="Male"/>
    <n v="42"/>
    <s v="Beauty"/>
    <n v="1"/>
    <n v="30"/>
    <n v="30"/>
  </r>
  <r>
    <n v="750"/>
    <x v="149"/>
    <s v="CUST750"/>
    <s v="Female"/>
    <n v="35"/>
    <s v="Clothing"/>
    <n v="3"/>
    <n v="25"/>
    <n v="75"/>
  </r>
  <r>
    <n v="751"/>
    <x v="178"/>
    <s v="CUST751"/>
    <s v="Female"/>
    <n v="42"/>
    <s v="Clothing"/>
    <n v="2"/>
    <n v="25"/>
    <n v="50"/>
  </r>
  <r>
    <n v="752"/>
    <x v="174"/>
    <s v="CUST752"/>
    <s v="Male"/>
    <n v="29"/>
    <s v="Clothing"/>
    <n v="2"/>
    <n v="50"/>
    <n v="100"/>
  </r>
  <r>
    <n v="753"/>
    <x v="122"/>
    <s v="CUST753"/>
    <s v="Female"/>
    <n v="32"/>
    <s v="Clothing"/>
    <n v="1"/>
    <n v="30"/>
    <n v="30"/>
  </r>
  <r>
    <n v="754"/>
    <x v="230"/>
    <s v="CUST754"/>
    <s v="Female"/>
    <n v="43"/>
    <s v="Electronics"/>
    <n v="4"/>
    <n v="25"/>
    <n v="100"/>
  </r>
  <r>
    <n v="755"/>
    <x v="16"/>
    <s v="CUST755"/>
    <s v="Female"/>
    <n v="58"/>
    <s v="Clothing"/>
    <n v="3"/>
    <n v="25"/>
    <n v="75"/>
  </r>
  <r>
    <n v="756"/>
    <x v="286"/>
    <s v="CUST756"/>
    <s v="Female"/>
    <n v="62"/>
    <s v="Electronics"/>
    <n v="4"/>
    <n v="300"/>
    <n v="1200"/>
  </r>
  <r>
    <n v="757"/>
    <x v="319"/>
    <s v="CUST757"/>
    <s v="Female"/>
    <n v="43"/>
    <s v="Electronics"/>
    <n v="4"/>
    <n v="300"/>
    <n v="1200"/>
  </r>
  <r>
    <n v="758"/>
    <x v="320"/>
    <s v="CUST758"/>
    <s v="Male"/>
    <n v="64"/>
    <s v="Clothing"/>
    <n v="4"/>
    <n v="25"/>
    <n v="100"/>
  </r>
  <r>
    <n v="759"/>
    <x v="321"/>
    <s v="CUST759"/>
    <s v="Male"/>
    <n v="49"/>
    <s v="Electronics"/>
    <n v="2"/>
    <n v="50"/>
    <n v="100"/>
  </r>
  <r>
    <n v="760"/>
    <x v="200"/>
    <s v="CUST760"/>
    <s v="Male"/>
    <n v="27"/>
    <s v="Beauty"/>
    <n v="1"/>
    <n v="500"/>
    <n v="500"/>
  </r>
  <r>
    <n v="761"/>
    <x v="155"/>
    <s v="CUST761"/>
    <s v="Female"/>
    <n v="33"/>
    <s v="Clothing"/>
    <n v="1"/>
    <n v="500"/>
    <n v="500"/>
  </r>
  <r>
    <n v="762"/>
    <x v="155"/>
    <s v="CUST762"/>
    <s v="Female"/>
    <n v="24"/>
    <s v="Electronics"/>
    <n v="2"/>
    <n v="25"/>
    <n v="50"/>
  </r>
  <r>
    <n v="763"/>
    <x v="122"/>
    <s v="CUST763"/>
    <s v="Male"/>
    <n v="34"/>
    <s v="Clothing"/>
    <n v="2"/>
    <n v="25"/>
    <n v="50"/>
  </r>
  <r>
    <n v="764"/>
    <x v="66"/>
    <s v="CUST764"/>
    <s v="Female"/>
    <n v="40"/>
    <s v="Clothing"/>
    <n v="1"/>
    <n v="25"/>
    <n v="25"/>
  </r>
  <r>
    <n v="765"/>
    <x v="159"/>
    <s v="CUST765"/>
    <s v="Male"/>
    <n v="43"/>
    <s v="Clothing"/>
    <n v="4"/>
    <n v="50"/>
    <n v="200"/>
  </r>
  <r>
    <n v="766"/>
    <x v="192"/>
    <s v="CUST766"/>
    <s v="Male"/>
    <n v="38"/>
    <s v="Electronics"/>
    <n v="3"/>
    <n v="300"/>
    <n v="900"/>
  </r>
  <r>
    <n v="767"/>
    <x v="208"/>
    <s v="CUST767"/>
    <s v="Male"/>
    <n v="39"/>
    <s v="Beauty"/>
    <n v="3"/>
    <n v="25"/>
    <n v="75"/>
  </r>
  <r>
    <n v="768"/>
    <x v="20"/>
    <s v="CUST768"/>
    <s v="Female"/>
    <n v="24"/>
    <s v="Beauty"/>
    <n v="3"/>
    <n v="25"/>
    <n v="75"/>
  </r>
  <r>
    <n v="769"/>
    <x v="159"/>
    <s v="CUST769"/>
    <s v="Female"/>
    <n v="31"/>
    <s v="Electronics"/>
    <n v="4"/>
    <n v="30"/>
    <n v="120"/>
  </r>
  <r>
    <n v="770"/>
    <x v="293"/>
    <s v="CUST770"/>
    <s v="Male"/>
    <n v="32"/>
    <s v="Clothing"/>
    <n v="1"/>
    <n v="50"/>
    <n v="50"/>
  </r>
  <r>
    <n v="771"/>
    <x v="8"/>
    <s v="CUST771"/>
    <s v="Male"/>
    <n v="24"/>
    <s v="Electronics"/>
    <n v="2"/>
    <n v="25"/>
    <n v="50"/>
  </r>
  <r>
    <n v="772"/>
    <x v="322"/>
    <s v="CUST772"/>
    <s v="Male"/>
    <n v="26"/>
    <s v="Electronics"/>
    <n v="1"/>
    <n v="30"/>
    <n v="30"/>
  </r>
  <r>
    <n v="773"/>
    <x v="323"/>
    <s v="CUST773"/>
    <s v="Male"/>
    <n v="25"/>
    <s v="Electronics"/>
    <n v="4"/>
    <n v="500"/>
    <n v="2000"/>
  </r>
  <r>
    <n v="774"/>
    <x v="22"/>
    <s v="CUST774"/>
    <s v="Female"/>
    <n v="40"/>
    <s v="Clothing"/>
    <n v="2"/>
    <n v="25"/>
    <n v="50"/>
  </r>
  <r>
    <n v="775"/>
    <x v="195"/>
    <s v="CUST775"/>
    <s v="Female"/>
    <n v="46"/>
    <s v="Electronics"/>
    <n v="4"/>
    <n v="25"/>
    <n v="100"/>
  </r>
  <r>
    <n v="776"/>
    <x v="315"/>
    <s v="CUST776"/>
    <s v="Male"/>
    <n v="35"/>
    <s v="Clothing"/>
    <n v="3"/>
    <n v="30"/>
    <n v="90"/>
  </r>
  <r>
    <n v="777"/>
    <x v="156"/>
    <s v="CUST777"/>
    <s v="Male"/>
    <n v="48"/>
    <s v="Electronics"/>
    <n v="3"/>
    <n v="50"/>
    <n v="150"/>
  </r>
  <r>
    <n v="778"/>
    <x v="51"/>
    <s v="CUST778"/>
    <s v="Female"/>
    <n v="47"/>
    <s v="Beauty"/>
    <n v="4"/>
    <n v="25"/>
    <n v="100"/>
  </r>
  <r>
    <n v="779"/>
    <x v="179"/>
    <s v="CUST779"/>
    <s v="Female"/>
    <n v="56"/>
    <s v="Electronics"/>
    <n v="2"/>
    <n v="500"/>
    <n v="1000"/>
  </r>
  <r>
    <n v="780"/>
    <x v="7"/>
    <s v="CUST780"/>
    <s v="Male"/>
    <n v="52"/>
    <s v="Electronics"/>
    <n v="2"/>
    <n v="25"/>
    <n v="50"/>
  </r>
  <r>
    <n v="781"/>
    <x v="204"/>
    <s v="CUST781"/>
    <s v="Male"/>
    <n v="35"/>
    <s v="Beauty"/>
    <n v="1"/>
    <n v="500"/>
    <n v="500"/>
  </r>
  <r>
    <n v="782"/>
    <x v="234"/>
    <s v="CUST782"/>
    <s v="Male"/>
    <n v="59"/>
    <s v="Clothing"/>
    <n v="3"/>
    <n v="300"/>
    <n v="900"/>
  </r>
  <r>
    <n v="783"/>
    <x v="82"/>
    <s v="CUST783"/>
    <s v="Female"/>
    <n v="56"/>
    <s v="Clothing"/>
    <n v="1"/>
    <n v="300"/>
    <n v="300"/>
  </r>
  <r>
    <n v="784"/>
    <x v="324"/>
    <s v="CUST784"/>
    <s v="Female"/>
    <n v="34"/>
    <s v="Electronics"/>
    <n v="1"/>
    <n v="500"/>
    <n v="500"/>
  </r>
  <r>
    <n v="785"/>
    <x v="163"/>
    <s v="CUST785"/>
    <s v="Female"/>
    <n v="31"/>
    <s v="Beauty"/>
    <n v="4"/>
    <n v="50"/>
    <n v="200"/>
  </r>
  <r>
    <n v="786"/>
    <x v="222"/>
    <s v="CUST786"/>
    <s v="Male"/>
    <n v="48"/>
    <s v="Clothing"/>
    <n v="4"/>
    <n v="25"/>
    <n v="100"/>
  </r>
  <r>
    <n v="787"/>
    <x v="256"/>
    <s v="CUST787"/>
    <s v="Male"/>
    <n v="41"/>
    <s v="Electronics"/>
    <n v="1"/>
    <n v="25"/>
    <n v="25"/>
  </r>
  <r>
    <n v="788"/>
    <x v="325"/>
    <s v="CUST788"/>
    <s v="Female"/>
    <n v="52"/>
    <s v="Beauty"/>
    <n v="3"/>
    <n v="300"/>
    <n v="900"/>
  </r>
  <r>
    <n v="789"/>
    <x v="148"/>
    <s v="CUST789"/>
    <s v="Female"/>
    <n v="61"/>
    <s v="Clothing"/>
    <n v="4"/>
    <n v="500"/>
    <n v="2000"/>
  </r>
  <r>
    <n v="790"/>
    <x v="102"/>
    <s v="CUST790"/>
    <s v="Male"/>
    <n v="62"/>
    <s v="Clothing"/>
    <n v="1"/>
    <n v="25"/>
    <n v="25"/>
  </r>
  <r>
    <n v="791"/>
    <x v="59"/>
    <s v="CUST791"/>
    <s v="Female"/>
    <n v="51"/>
    <s v="Beauty"/>
    <n v="1"/>
    <n v="25"/>
    <n v="25"/>
  </r>
  <r>
    <n v="792"/>
    <x v="67"/>
    <s v="CUST792"/>
    <s v="Female"/>
    <n v="20"/>
    <s v="Beauty"/>
    <n v="1"/>
    <n v="50"/>
    <n v="50"/>
  </r>
  <r>
    <n v="793"/>
    <x v="57"/>
    <s v="CUST793"/>
    <s v="Male"/>
    <n v="54"/>
    <s v="Beauty"/>
    <n v="1"/>
    <n v="30"/>
    <n v="30"/>
  </r>
  <r>
    <n v="794"/>
    <x v="129"/>
    <s v="CUST794"/>
    <s v="Female"/>
    <n v="60"/>
    <s v="Beauty"/>
    <n v="1"/>
    <n v="300"/>
    <n v="300"/>
  </r>
  <r>
    <n v="795"/>
    <x v="73"/>
    <s v="CUST795"/>
    <s v="Male"/>
    <n v="57"/>
    <s v="Electronics"/>
    <n v="1"/>
    <n v="300"/>
    <n v="300"/>
  </r>
  <r>
    <n v="796"/>
    <x v="33"/>
    <s v="CUST796"/>
    <s v="Male"/>
    <n v="43"/>
    <s v="Beauty"/>
    <n v="4"/>
    <n v="30"/>
    <n v="120"/>
  </r>
  <r>
    <n v="797"/>
    <x v="326"/>
    <s v="CUST797"/>
    <s v="Male"/>
    <n v="40"/>
    <s v="Clothing"/>
    <n v="3"/>
    <n v="25"/>
    <n v="75"/>
  </r>
  <r>
    <n v="798"/>
    <x v="279"/>
    <s v="CUST798"/>
    <s v="Male"/>
    <n v="61"/>
    <s v="Clothing"/>
    <n v="1"/>
    <n v="50"/>
    <n v="50"/>
  </r>
  <r>
    <n v="799"/>
    <x v="140"/>
    <s v="CUST799"/>
    <s v="Male"/>
    <n v="56"/>
    <s v="Electronics"/>
    <n v="2"/>
    <n v="50"/>
    <n v="100"/>
  </r>
  <r>
    <n v="800"/>
    <x v="130"/>
    <s v="CUST800"/>
    <s v="Male"/>
    <n v="32"/>
    <s v="Clothing"/>
    <n v="4"/>
    <n v="300"/>
    <n v="1200"/>
  </r>
  <r>
    <n v="801"/>
    <x v="327"/>
    <s v="CUST801"/>
    <s v="Male"/>
    <n v="21"/>
    <s v="Clothing"/>
    <n v="4"/>
    <n v="50"/>
    <n v="200"/>
  </r>
  <r>
    <n v="802"/>
    <x v="53"/>
    <s v="CUST802"/>
    <s v="Female"/>
    <n v="46"/>
    <s v="Beauty"/>
    <n v="1"/>
    <n v="30"/>
    <n v="30"/>
  </r>
  <r>
    <n v="803"/>
    <x v="64"/>
    <s v="CUST803"/>
    <s v="Male"/>
    <n v="39"/>
    <s v="Clothing"/>
    <n v="4"/>
    <n v="25"/>
    <n v="100"/>
  </r>
  <r>
    <n v="804"/>
    <x v="44"/>
    <s v="CUST804"/>
    <s v="Male"/>
    <n v="42"/>
    <s v="Electronics"/>
    <n v="1"/>
    <n v="30"/>
    <n v="30"/>
  </r>
  <r>
    <n v="805"/>
    <x v="167"/>
    <s v="CUST805"/>
    <s v="Female"/>
    <n v="30"/>
    <s v="Beauty"/>
    <n v="3"/>
    <n v="500"/>
    <n v="1500"/>
  </r>
  <r>
    <n v="806"/>
    <x v="111"/>
    <s v="CUST806"/>
    <s v="Female"/>
    <n v="35"/>
    <s v="Beauty"/>
    <n v="3"/>
    <n v="300"/>
    <n v="900"/>
  </r>
  <r>
    <n v="807"/>
    <x v="124"/>
    <s v="CUST807"/>
    <s v="Female"/>
    <n v="50"/>
    <s v="Electronics"/>
    <n v="4"/>
    <n v="50"/>
    <n v="200"/>
  </r>
  <r>
    <n v="808"/>
    <x v="258"/>
    <s v="CUST808"/>
    <s v="Male"/>
    <n v="33"/>
    <s v="Beauty"/>
    <n v="4"/>
    <n v="500"/>
    <n v="2000"/>
  </r>
  <r>
    <n v="809"/>
    <x v="223"/>
    <s v="CUST809"/>
    <s v="Female"/>
    <n v="62"/>
    <s v="Beauty"/>
    <n v="2"/>
    <n v="50"/>
    <n v="100"/>
  </r>
  <r>
    <n v="810"/>
    <x v="198"/>
    <s v="CUST810"/>
    <s v="Male"/>
    <n v="59"/>
    <s v="Electronics"/>
    <n v="4"/>
    <n v="25"/>
    <n v="100"/>
  </r>
  <r>
    <n v="811"/>
    <x v="79"/>
    <s v="CUST811"/>
    <s v="Male"/>
    <n v="61"/>
    <s v="Beauty"/>
    <n v="2"/>
    <n v="25"/>
    <n v="50"/>
  </r>
  <r>
    <n v="812"/>
    <x v="281"/>
    <s v="CUST812"/>
    <s v="Male"/>
    <n v="19"/>
    <s v="Electronics"/>
    <n v="3"/>
    <n v="25"/>
    <n v="75"/>
  </r>
  <r>
    <n v="813"/>
    <x v="99"/>
    <s v="CUST813"/>
    <s v="Male"/>
    <n v="52"/>
    <s v="Electronics"/>
    <n v="3"/>
    <n v="50"/>
    <n v="150"/>
  </r>
  <r>
    <n v="814"/>
    <x v="328"/>
    <s v="CUST814"/>
    <s v="Female"/>
    <n v="59"/>
    <s v="Clothing"/>
    <n v="1"/>
    <n v="500"/>
    <n v="500"/>
  </r>
  <r>
    <n v="815"/>
    <x v="286"/>
    <s v="CUST815"/>
    <s v="Female"/>
    <n v="51"/>
    <s v="Clothing"/>
    <n v="3"/>
    <n v="25"/>
    <n v="75"/>
  </r>
  <r>
    <n v="816"/>
    <x v="269"/>
    <s v="CUST816"/>
    <s v="Male"/>
    <n v="47"/>
    <s v="Beauty"/>
    <n v="2"/>
    <n v="500"/>
    <n v="1000"/>
  </r>
  <r>
    <n v="817"/>
    <x v="315"/>
    <s v="CUST817"/>
    <s v="Male"/>
    <n v="30"/>
    <s v="Beauty"/>
    <n v="4"/>
    <n v="50"/>
    <n v="200"/>
  </r>
  <r>
    <n v="818"/>
    <x v="88"/>
    <s v="CUST818"/>
    <s v="Male"/>
    <n v="30"/>
    <s v="Electronics"/>
    <n v="1"/>
    <n v="500"/>
    <n v="500"/>
  </r>
  <r>
    <n v="819"/>
    <x v="139"/>
    <s v="CUST819"/>
    <s v="Female"/>
    <n v="35"/>
    <s v="Beauty"/>
    <n v="2"/>
    <n v="50"/>
    <n v="100"/>
  </r>
  <r>
    <n v="820"/>
    <x v="4"/>
    <s v="CUST820"/>
    <s v="Male"/>
    <n v="49"/>
    <s v="Electronics"/>
    <n v="4"/>
    <n v="50"/>
    <n v="200"/>
  </r>
  <r>
    <n v="821"/>
    <x v="10"/>
    <s v="CUST821"/>
    <s v="Male"/>
    <n v="49"/>
    <s v="Electronics"/>
    <n v="1"/>
    <n v="300"/>
    <n v="300"/>
  </r>
  <r>
    <n v="822"/>
    <x v="29"/>
    <s v="CUST822"/>
    <s v="Female"/>
    <n v="52"/>
    <s v="Beauty"/>
    <n v="3"/>
    <n v="50"/>
    <n v="150"/>
  </r>
  <r>
    <n v="823"/>
    <x v="304"/>
    <s v="CUST823"/>
    <s v="Female"/>
    <n v="56"/>
    <s v="Electronics"/>
    <n v="2"/>
    <n v="50"/>
    <n v="100"/>
  </r>
  <r>
    <n v="824"/>
    <x v="179"/>
    <s v="CUST824"/>
    <s v="Male"/>
    <n v="63"/>
    <s v="Clothing"/>
    <n v="4"/>
    <n v="30"/>
    <n v="120"/>
  </r>
  <r>
    <n v="825"/>
    <x v="300"/>
    <s v="CUST825"/>
    <s v="Female"/>
    <n v="46"/>
    <s v="Beauty"/>
    <n v="1"/>
    <n v="25"/>
    <n v="25"/>
  </r>
  <r>
    <n v="826"/>
    <x v="218"/>
    <s v="CUST826"/>
    <s v="Female"/>
    <n v="46"/>
    <s v="Clothing"/>
    <n v="1"/>
    <n v="300"/>
    <n v="300"/>
  </r>
  <r>
    <n v="827"/>
    <x v="289"/>
    <s v="CUST827"/>
    <s v="Male"/>
    <n v="61"/>
    <s v="Beauty"/>
    <n v="3"/>
    <n v="300"/>
    <n v="900"/>
  </r>
  <r>
    <n v="828"/>
    <x v="174"/>
    <s v="CUST828"/>
    <s v="Female"/>
    <n v="33"/>
    <s v="Electronics"/>
    <n v="4"/>
    <n v="300"/>
    <n v="1200"/>
  </r>
  <r>
    <n v="829"/>
    <x v="37"/>
    <s v="CUST829"/>
    <s v="Male"/>
    <n v="61"/>
    <s v="Beauty"/>
    <n v="3"/>
    <n v="30"/>
    <n v="90"/>
  </r>
  <r>
    <n v="830"/>
    <x v="36"/>
    <s v="CUST830"/>
    <s v="Female"/>
    <n v="64"/>
    <s v="Clothing"/>
    <n v="3"/>
    <n v="50"/>
    <n v="150"/>
  </r>
  <r>
    <n v="831"/>
    <x v="267"/>
    <s v="CUST831"/>
    <s v="Male"/>
    <n v="27"/>
    <s v="Electronics"/>
    <n v="4"/>
    <n v="25"/>
    <n v="100"/>
  </r>
  <r>
    <n v="832"/>
    <x v="296"/>
    <s v="CUST832"/>
    <s v="Male"/>
    <n v="47"/>
    <s v="Beauty"/>
    <n v="4"/>
    <n v="500"/>
    <n v="2000"/>
  </r>
  <r>
    <n v="833"/>
    <x v="83"/>
    <s v="CUST833"/>
    <s v="Male"/>
    <n v="42"/>
    <s v="Beauty"/>
    <n v="4"/>
    <n v="50"/>
    <n v="200"/>
  </r>
  <r>
    <n v="834"/>
    <x v="194"/>
    <s v="CUST834"/>
    <s v="Female"/>
    <n v="56"/>
    <s v="Beauty"/>
    <n v="2"/>
    <n v="30"/>
    <n v="60"/>
  </r>
  <r>
    <n v="835"/>
    <x v="206"/>
    <s v="CUST835"/>
    <s v="Male"/>
    <n v="37"/>
    <s v="Clothing"/>
    <n v="4"/>
    <n v="50"/>
    <n v="200"/>
  </r>
  <r>
    <n v="836"/>
    <x v="90"/>
    <s v="CUST836"/>
    <s v="Female"/>
    <n v="22"/>
    <s v="Clothing"/>
    <n v="1"/>
    <n v="50"/>
    <n v="50"/>
  </r>
  <r>
    <n v="837"/>
    <x v="68"/>
    <s v="CUST837"/>
    <s v="Male"/>
    <n v="18"/>
    <s v="Beauty"/>
    <n v="3"/>
    <n v="30"/>
    <n v="90"/>
  </r>
  <r>
    <n v="838"/>
    <x v="305"/>
    <s v="CUST838"/>
    <s v="Male"/>
    <n v="47"/>
    <s v="Electronics"/>
    <n v="2"/>
    <n v="300"/>
    <n v="600"/>
  </r>
  <r>
    <n v="839"/>
    <x v="33"/>
    <s v="CUST839"/>
    <s v="Female"/>
    <n v="20"/>
    <s v="Electronics"/>
    <n v="4"/>
    <n v="300"/>
    <n v="1200"/>
  </r>
  <r>
    <n v="840"/>
    <x v="329"/>
    <s v="CUST840"/>
    <s v="Male"/>
    <n v="62"/>
    <s v="Clothing"/>
    <n v="2"/>
    <n v="25"/>
    <n v="50"/>
  </r>
  <r>
    <n v="841"/>
    <x v="113"/>
    <s v="CUST841"/>
    <s v="Male"/>
    <n v="31"/>
    <s v="Electronics"/>
    <n v="4"/>
    <n v="25"/>
    <n v="100"/>
  </r>
  <r>
    <n v="842"/>
    <x v="24"/>
    <s v="CUST842"/>
    <s v="Female"/>
    <n v="47"/>
    <s v="Clothing"/>
    <n v="2"/>
    <n v="300"/>
    <n v="600"/>
  </r>
  <r>
    <n v="843"/>
    <x v="247"/>
    <s v="CUST843"/>
    <s v="Male"/>
    <n v="21"/>
    <s v="Beauty"/>
    <n v="3"/>
    <n v="500"/>
    <n v="1500"/>
  </r>
  <r>
    <n v="844"/>
    <x v="205"/>
    <s v="CUST844"/>
    <s v="Male"/>
    <n v="35"/>
    <s v="Clothing"/>
    <n v="3"/>
    <n v="50"/>
    <n v="150"/>
  </r>
  <r>
    <n v="845"/>
    <x v="121"/>
    <s v="CUST845"/>
    <s v="Male"/>
    <n v="54"/>
    <s v="Clothing"/>
    <n v="1"/>
    <n v="500"/>
    <n v="500"/>
  </r>
  <r>
    <n v="846"/>
    <x v="161"/>
    <s v="CUST846"/>
    <s v="Male"/>
    <n v="42"/>
    <s v="Beauty"/>
    <n v="1"/>
    <n v="50"/>
    <n v="50"/>
  </r>
  <r>
    <n v="847"/>
    <x v="181"/>
    <s v="CUST847"/>
    <s v="Female"/>
    <n v="18"/>
    <s v="Electronics"/>
    <n v="4"/>
    <n v="300"/>
    <n v="1200"/>
  </r>
  <r>
    <n v="848"/>
    <x v="146"/>
    <s v="CUST848"/>
    <s v="Female"/>
    <n v="63"/>
    <s v="Clothing"/>
    <n v="3"/>
    <n v="25"/>
    <n v="75"/>
  </r>
  <r>
    <n v="849"/>
    <x v="145"/>
    <s v="CUST849"/>
    <s v="Male"/>
    <n v="32"/>
    <s v="Clothing"/>
    <n v="2"/>
    <n v="25"/>
    <n v="50"/>
  </r>
  <r>
    <n v="850"/>
    <x v="180"/>
    <s v="CUST850"/>
    <s v="Female"/>
    <n v="26"/>
    <s v="Beauty"/>
    <n v="2"/>
    <n v="500"/>
    <n v="1000"/>
  </r>
  <r>
    <n v="851"/>
    <x v="140"/>
    <s v="CUST851"/>
    <s v="Male"/>
    <n v="32"/>
    <s v="Electronics"/>
    <n v="2"/>
    <n v="25"/>
    <n v="50"/>
  </r>
  <r>
    <n v="852"/>
    <x v="205"/>
    <s v="CUST852"/>
    <s v="Female"/>
    <n v="41"/>
    <s v="Clothing"/>
    <n v="1"/>
    <n v="300"/>
    <n v="300"/>
  </r>
  <r>
    <n v="853"/>
    <x v="145"/>
    <s v="CUST853"/>
    <s v="Male"/>
    <n v="21"/>
    <s v="Beauty"/>
    <n v="2"/>
    <n v="500"/>
    <n v="1000"/>
  </r>
  <r>
    <n v="854"/>
    <x v="156"/>
    <s v="CUST854"/>
    <s v="Male"/>
    <n v="29"/>
    <s v="Clothing"/>
    <n v="1"/>
    <n v="50"/>
    <n v="50"/>
  </r>
  <r>
    <n v="855"/>
    <x v="152"/>
    <s v="CUST855"/>
    <s v="Male"/>
    <n v="54"/>
    <s v="Beauty"/>
    <n v="1"/>
    <n v="25"/>
    <n v="25"/>
  </r>
  <r>
    <n v="856"/>
    <x v="188"/>
    <s v="CUST856"/>
    <s v="Male"/>
    <n v="54"/>
    <s v="Electronics"/>
    <n v="4"/>
    <n v="30"/>
    <n v="120"/>
  </r>
  <r>
    <n v="857"/>
    <x v="330"/>
    <s v="CUST857"/>
    <s v="Male"/>
    <n v="60"/>
    <s v="Electronics"/>
    <n v="2"/>
    <n v="25"/>
    <n v="50"/>
  </r>
  <r>
    <n v="858"/>
    <x v="331"/>
    <s v="CUST858"/>
    <s v="Male"/>
    <n v="23"/>
    <s v="Electronics"/>
    <n v="2"/>
    <n v="50"/>
    <n v="100"/>
  </r>
  <r>
    <n v="859"/>
    <x v="27"/>
    <s v="CUST859"/>
    <s v="Female"/>
    <n v="56"/>
    <s v="Electronics"/>
    <n v="3"/>
    <n v="500"/>
    <n v="1500"/>
  </r>
  <r>
    <n v="860"/>
    <x v="332"/>
    <s v="CUST860"/>
    <s v="Male"/>
    <n v="63"/>
    <s v="Clothing"/>
    <n v="4"/>
    <n v="50"/>
    <n v="200"/>
  </r>
  <r>
    <n v="861"/>
    <x v="15"/>
    <s v="CUST861"/>
    <s v="Female"/>
    <n v="41"/>
    <s v="Clothing"/>
    <n v="3"/>
    <n v="30"/>
    <n v="90"/>
  </r>
  <r>
    <n v="862"/>
    <x v="50"/>
    <s v="CUST862"/>
    <s v="Male"/>
    <n v="28"/>
    <s v="Electronics"/>
    <n v="4"/>
    <n v="300"/>
    <n v="1200"/>
  </r>
  <r>
    <n v="863"/>
    <x v="262"/>
    <s v="CUST863"/>
    <s v="Female"/>
    <n v="30"/>
    <s v="Electronics"/>
    <n v="2"/>
    <n v="25"/>
    <n v="50"/>
  </r>
  <r>
    <n v="864"/>
    <x v="282"/>
    <s v="CUST864"/>
    <s v="Female"/>
    <n v="51"/>
    <s v="Electronics"/>
    <n v="1"/>
    <n v="500"/>
    <n v="500"/>
  </r>
  <r>
    <n v="865"/>
    <x v="333"/>
    <s v="CUST865"/>
    <s v="Female"/>
    <n v="42"/>
    <s v="Clothing"/>
    <n v="1"/>
    <n v="300"/>
    <n v="300"/>
  </r>
  <r>
    <n v="866"/>
    <x v="179"/>
    <s v="CUST866"/>
    <s v="Male"/>
    <n v="24"/>
    <s v="Electronics"/>
    <n v="1"/>
    <n v="50"/>
    <n v="50"/>
  </r>
  <r>
    <n v="867"/>
    <x v="264"/>
    <s v="CUST867"/>
    <s v="Male"/>
    <n v="21"/>
    <s v="Electronics"/>
    <n v="1"/>
    <n v="500"/>
    <n v="500"/>
  </r>
  <r>
    <n v="868"/>
    <x v="237"/>
    <s v="CUST868"/>
    <s v="Female"/>
    <n v="25"/>
    <s v="Electronics"/>
    <n v="1"/>
    <n v="300"/>
    <n v="300"/>
  </r>
  <r>
    <n v="869"/>
    <x v="268"/>
    <s v="CUST869"/>
    <s v="Male"/>
    <n v="37"/>
    <s v="Beauty"/>
    <n v="3"/>
    <n v="500"/>
    <n v="1500"/>
  </r>
  <r>
    <n v="870"/>
    <x v="321"/>
    <s v="CUST870"/>
    <s v="Female"/>
    <n v="46"/>
    <s v="Electronics"/>
    <n v="4"/>
    <n v="30"/>
    <n v="120"/>
  </r>
  <r>
    <n v="871"/>
    <x v="178"/>
    <s v="CUST871"/>
    <s v="Male"/>
    <n v="62"/>
    <s v="Beauty"/>
    <n v="2"/>
    <n v="30"/>
    <n v="60"/>
  </r>
  <r>
    <n v="872"/>
    <x v="120"/>
    <s v="CUST872"/>
    <s v="Female"/>
    <n v="63"/>
    <s v="Beauty"/>
    <n v="3"/>
    <n v="25"/>
    <n v="75"/>
  </r>
  <r>
    <n v="873"/>
    <x v="136"/>
    <s v="CUST873"/>
    <s v="Female"/>
    <n v="27"/>
    <s v="Electronics"/>
    <n v="4"/>
    <n v="25"/>
    <n v="100"/>
  </r>
  <r>
    <n v="874"/>
    <x v="40"/>
    <s v="CUST874"/>
    <s v="Male"/>
    <n v="60"/>
    <s v="Beauty"/>
    <n v="1"/>
    <n v="30"/>
    <n v="30"/>
  </r>
  <r>
    <n v="875"/>
    <x v="298"/>
    <s v="CUST875"/>
    <s v="Female"/>
    <n v="51"/>
    <s v="Electronics"/>
    <n v="4"/>
    <n v="500"/>
    <n v="2000"/>
  </r>
  <r>
    <n v="876"/>
    <x v="153"/>
    <s v="CUST876"/>
    <s v="Male"/>
    <n v="43"/>
    <s v="Clothing"/>
    <n v="4"/>
    <n v="30"/>
    <n v="120"/>
  </r>
  <r>
    <n v="877"/>
    <x v="171"/>
    <s v="CUST877"/>
    <s v="Female"/>
    <n v="58"/>
    <s v="Clothing"/>
    <n v="1"/>
    <n v="25"/>
    <n v="25"/>
  </r>
  <r>
    <n v="878"/>
    <x v="313"/>
    <s v="CUST878"/>
    <s v="Female"/>
    <n v="20"/>
    <s v="Clothing"/>
    <n v="1"/>
    <n v="30"/>
    <n v="30"/>
  </r>
  <r>
    <n v="879"/>
    <x v="24"/>
    <s v="CUST879"/>
    <s v="Male"/>
    <n v="23"/>
    <s v="Clothing"/>
    <n v="1"/>
    <n v="30"/>
    <n v="30"/>
  </r>
  <r>
    <n v="880"/>
    <x v="63"/>
    <s v="CUST880"/>
    <s v="Male"/>
    <n v="22"/>
    <s v="Beauty"/>
    <n v="2"/>
    <n v="500"/>
    <n v="1000"/>
  </r>
  <r>
    <n v="881"/>
    <x v="79"/>
    <s v="CUST881"/>
    <s v="Male"/>
    <n v="22"/>
    <s v="Electronics"/>
    <n v="1"/>
    <n v="300"/>
    <n v="300"/>
  </r>
  <r>
    <n v="882"/>
    <x v="264"/>
    <s v="CUST882"/>
    <s v="Female"/>
    <n v="64"/>
    <s v="Electronics"/>
    <n v="2"/>
    <n v="25"/>
    <n v="50"/>
  </r>
  <r>
    <n v="883"/>
    <x v="119"/>
    <s v="CUST883"/>
    <s v="Male"/>
    <n v="40"/>
    <s v="Electronics"/>
    <n v="1"/>
    <n v="500"/>
    <n v="500"/>
  </r>
  <r>
    <n v="884"/>
    <x v="310"/>
    <s v="CUST884"/>
    <s v="Female"/>
    <n v="26"/>
    <s v="Clothing"/>
    <n v="2"/>
    <n v="30"/>
    <n v="60"/>
  </r>
  <r>
    <n v="885"/>
    <x v="163"/>
    <s v="CUST885"/>
    <s v="Female"/>
    <n v="52"/>
    <s v="Clothing"/>
    <n v="4"/>
    <n v="30"/>
    <n v="120"/>
  </r>
  <r>
    <n v="886"/>
    <x v="55"/>
    <s v="CUST886"/>
    <s v="Male"/>
    <n v="37"/>
    <s v="Electronics"/>
    <n v="3"/>
    <n v="300"/>
    <n v="900"/>
  </r>
  <r>
    <n v="887"/>
    <x v="86"/>
    <s v="CUST887"/>
    <s v="Male"/>
    <n v="59"/>
    <s v="Clothing"/>
    <n v="4"/>
    <n v="25"/>
    <n v="100"/>
  </r>
  <r>
    <n v="888"/>
    <x v="163"/>
    <s v="CUST888"/>
    <s v="Female"/>
    <n v="52"/>
    <s v="Electronics"/>
    <n v="4"/>
    <n v="25"/>
    <n v="100"/>
  </r>
  <r>
    <n v="889"/>
    <x v="45"/>
    <s v="CUST889"/>
    <s v="Female"/>
    <n v="35"/>
    <s v="Electronics"/>
    <n v="1"/>
    <n v="50"/>
    <n v="50"/>
  </r>
  <r>
    <n v="890"/>
    <x v="156"/>
    <s v="CUST890"/>
    <s v="Male"/>
    <n v="34"/>
    <s v="Electronics"/>
    <n v="2"/>
    <n v="25"/>
    <n v="50"/>
  </r>
  <r>
    <n v="891"/>
    <x v="334"/>
    <s v="CUST891"/>
    <s v="Male"/>
    <n v="41"/>
    <s v="Electronics"/>
    <n v="3"/>
    <n v="300"/>
    <n v="900"/>
  </r>
  <r>
    <n v="892"/>
    <x v="55"/>
    <s v="CUST892"/>
    <s v="Male"/>
    <n v="20"/>
    <s v="Electronics"/>
    <n v="1"/>
    <n v="50"/>
    <n v="50"/>
  </r>
  <r>
    <n v="893"/>
    <x v="35"/>
    <s v="CUST893"/>
    <s v="Male"/>
    <n v="49"/>
    <s v="Electronics"/>
    <n v="1"/>
    <n v="50"/>
    <n v="50"/>
  </r>
  <r>
    <n v="894"/>
    <x v="328"/>
    <s v="CUST894"/>
    <s v="Male"/>
    <n v="52"/>
    <s v="Electronics"/>
    <n v="1"/>
    <n v="30"/>
    <n v="30"/>
  </r>
  <r>
    <n v="895"/>
    <x v="247"/>
    <s v="CUST895"/>
    <s v="Female"/>
    <n v="55"/>
    <s v="Clothing"/>
    <n v="4"/>
    <n v="30"/>
    <n v="120"/>
  </r>
  <r>
    <n v="896"/>
    <x v="28"/>
    <s v="CUST896"/>
    <s v="Female"/>
    <n v="30"/>
    <s v="Electronics"/>
    <n v="2"/>
    <n v="25"/>
    <n v="50"/>
  </r>
  <r>
    <n v="897"/>
    <x v="335"/>
    <s v="CUST897"/>
    <s v="Female"/>
    <n v="64"/>
    <s v="Electronics"/>
    <n v="2"/>
    <n v="50"/>
    <n v="100"/>
  </r>
  <r>
    <n v="898"/>
    <x v="113"/>
    <s v="CUST898"/>
    <s v="Female"/>
    <n v="42"/>
    <s v="Clothing"/>
    <n v="3"/>
    <n v="30"/>
    <n v="90"/>
  </r>
  <r>
    <n v="899"/>
    <x v="242"/>
    <s v="CUST899"/>
    <s v="Male"/>
    <n v="26"/>
    <s v="Clothing"/>
    <n v="2"/>
    <n v="300"/>
    <n v="600"/>
  </r>
  <r>
    <n v="900"/>
    <x v="62"/>
    <s v="CUST900"/>
    <s v="Male"/>
    <n v="21"/>
    <s v="Clothing"/>
    <n v="2"/>
    <n v="30"/>
    <n v="60"/>
  </r>
  <r>
    <n v="901"/>
    <x v="294"/>
    <s v="CUST901"/>
    <s v="Male"/>
    <n v="31"/>
    <s v="Electronics"/>
    <n v="1"/>
    <n v="30"/>
    <n v="30"/>
  </r>
  <r>
    <n v="902"/>
    <x v="207"/>
    <s v="CUST902"/>
    <s v="Female"/>
    <n v="54"/>
    <s v="Beauty"/>
    <n v="1"/>
    <n v="50"/>
    <n v="50"/>
  </r>
  <r>
    <n v="903"/>
    <x v="60"/>
    <s v="CUST903"/>
    <s v="Female"/>
    <n v="51"/>
    <s v="Beauty"/>
    <n v="4"/>
    <n v="50"/>
    <n v="200"/>
  </r>
  <r>
    <n v="904"/>
    <x v="336"/>
    <s v="CUST904"/>
    <s v="Male"/>
    <n v="28"/>
    <s v="Clothing"/>
    <n v="1"/>
    <n v="500"/>
    <n v="500"/>
  </r>
  <r>
    <n v="905"/>
    <x v="128"/>
    <s v="CUST905"/>
    <s v="Male"/>
    <n v="58"/>
    <s v="Beauty"/>
    <n v="1"/>
    <n v="300"/>
    <n v="300"/>
  </r>
  <r>
    <n v="906"/>
    <x v="234"/>
    <s v="CUST906"/>
    <s v="Female"/>
    <n v="20"/>
    <s v="Clothing"/>
    <n v="1"/>
    <n v="50"/>
    <n v="50"/>
  </r>
  <r>
    <n v="907"/>
    <x v="199"/>
    <s v="CUST907"/>
    <s v="Female"/>
    <n v="45"/>
    <s v="Electronics"/>
    <n v="1"/>
    <n v="25"/>
    <n v="25"/>
  </r>
  <r>
    <n v="908"/>
    <x v="167"/>
    <s v="CUST908"/>
    <s v="Male"/>
    <n v="46"/>
    <s v="Beauty"/>
    <n v="4"/>
    <n v="300"/>
    <n v="1200"/>
  </r>
  <r>
    <n v="909"/>
    <x v="77"/>
    <s v="CUST909"/>
    <s v="Male"/>
    <n v="26"/>
    <s v="Electronics"/>
    <n v="1"/>
    <n v="300"/>
    <n v="300"/>
  </r>
  <r>
    <n v="910"/>
    <x v="149"/>
    <s v="CUST910"/>
    <s v="Female"/>
    <n v="20"/>
    <s v="Beauty"/>
    <n v="3"/>
    <n v="50"/>
    <n v="150"/>
  </r>
  <r>
    <n v="911"/>
    <x v="3"/>
    <s v="CUST911"/>
    <s v="Male"/>
    <n v="42"/>
    <s v="Electronics"/>
    <n v="3"/>
    <n v="300"/>
    <n v="900"/>
  </r>
  <r>
    <n v="912"/>
    <x v="58"/>
    <s v="CUST912"/>
    <s v="Male"/>
    <n v="51"/>
    <s v="Beauty"/>
    <n v="3"/>
    <n v="50"/>
    <n v="150"/>
  </r>
  <r>
    <n v="913"/>
    <x v="185"/>
    <s v="CUST913"/>
    <s v="Male"/>
    <n v="29"/>
    <s v="Electronics"/>
    <n v="3"/>
    <n v="30"/>
    <n v="90"/>
  </r>
  <r>
    <n v="914"/>
    <x v="120"/>
    <s v="CUST914"/>
    <s v="Female"/>
    <n v="59"/>
    <s v="Electronics"/>
    <n v="1"/>
    <n v="500"/>
    <n v="500"/>
  </r>
  <r>
    <n v="915"/>
    <x v="337"/>
    <s v="CUST915"/>
    <s v="Female"/>
    <n v="26"/>
    <s v="Beauty"/>
    <n v="3"/>
    <n v="30"/>
    <n v="90"/>
  </r>
  <r>
    <n v="916"/>
    <x v="32"/>
    <s v="CUST916"/>
    <s v="Female"/>
    <n v="32"/>
    <s v="Electronics"/>
    <n v="1"/>
    <n v="50"/>
    <n v="50"/>
  </r>
  <r>
    <n v="917"/>
    <x v="149"/>
    <s v="CUST917"/>
    <s v="Female"/>
    <n v="57"/>
    <s v="Electronics"/>
    <n v="4"/>
    <n v="50"/>
    <n v="200"/>
  </r>
  <r>
    <n v="918"/>
    <x v="250"/>
    <s v="CUST918"/>
    <s v="Female"/>
    <n v="42"/>
    <s v="Electronics"/>
    <n v="3"/>
    <n v="30"/>
    <n v="90"/>
  </r>
  <r>
    <n v="919"/>
    <x v="331"/>
    <s v="CUST919"/>
    <s v="Female"/>
    <n v="22"/>
    <s v="Beauty"/>
    <n v="2"/>
    <n v="25"/>
    <n v="50"/>
  </r>
  <r>
    <n v="920"/>
    <x v="7"/>
    <s v="CUST920"/>
    <s v="Female"/>
    <n v="28"/>
    <s v="Beauty"/>
    <n v="3"/>
    <n v="25"/>
    <n v="75"/>
  </r>
  <r>
    <n v="921"/>
    <x v="326"/>
    <s v="CUST921"/>
    <s v="Male"/>
    <n v="51"/>
    <s v="Electronics"/>
    <n v="3"/>
    <n v="25"/>
    <n v="75"/>
  </r>
  <r>
    <n v="922"/>
    <x v="338"/>
    <s v="CUST922"/>
    <s v="Male"/>
    <n v="41"/>
    <s v="Electronics"/>
    <n v="1"/>
    <n v="50"/>
    <n v="50"/>
  </r>
  <r>
    <n v="923"/>
    <x v="232"/>
    <s v="CUST923"/>
    <s v="Male"/>
    <n v="32"/>
    <s v="Beauty"/>
    <n v="3"/>
    <n v="300"/>
    <n v="900"/>
  </r>
  <r>
    <n v="924"/>
    <x v="261"/>
    <s v="CUST924"/>
    <s v="Male"/>
    <n v="55"/>
    <s v="Beauty"/>
    <n v="2"/>
    <n v="50"/>
    <n v="100"/>
  </r>
  <r>
    <n v="925"/>
    <x v="339"/>
    <s v="CUST925"/>
    <s v="Male"/>
    <n v="25"/>
    <s v="Electronics"/>
    <n v="1"/>
    <n v="300"/>
    <n v="300"/>
  </r>
  <r>
    <n v="926"/>
    <x v="306"/>
    <s v="CUST926"/>
    <s v="Male"/>
    <n v="22"/>
    <s v="Electronics"/>
    <n v="1"/>
    <n v="30"/>
    <n v="30"/>
  </r>
  <r>
    <n v="927"/>
    <x v="33"/>
    <s v="CUST927"/>
    <s v="Male"/>
    <n v="43"/>
    <s v="Electronics"/>
    <n v="4"/>
    <n v="500"/>
    <n v="2000"/>
  </r>
  <r>
    <n v="928"/>
    <x v="334"/>
    <s v="CUST928"/>
    <s v="Female"/>
    <n v="35"/>
    <s v="Clothing"/>
    <n v="4"/>
    <n v="300"/>
    <n v="1200"/>
  </r>
  <r>
    <n v="929"/>
    <x v="246"/>
    <s v="CUST929"/>
    <s v="Female"/>
    <n v="23"/>
    <s v="Beauty"/>
    <n v="3"/>
    <n v="25"/>
    <n v="75"/>
  </r>
  <r>
    <n v="930"/>
    <x v="318"/>
    <s v="CUST930"/>
    <s v="Male"/>
    <n v="54"/>
    <s v="Clothing"/>
    <n v="4"/>
    <n v="50"/>
    <n v="200"/>
  </r>
  <r>
    <n v="931"/>
    <x v="211"/>
    <s v="CUST931"/>
    <s v="Male"/>
    <n v="30"/>
    <s v="Beauty"/>
    <n v="4"/>
    <n v="30"/>
    <n v="120"/>
  </r>
  <r>
    <n v="932"/>
    <x v="122"/>
    <s v="CUST932"/>
    <s v="Female"/>
    <n v="45"/>
    <s v="Beauty"/>
    <n v="4"/>
    <n v="25"/>
    <n v="100"/>
  </r>
  <r>
    <n v="933"/>
    <x v="89"/>
    <s v="CUST933"/>
    <s v="Male"/>
    <n v="22"/>
    <s v="Beauty"/>
    <n v="1"/>
    <n v="30"/>
    <n v="30"/>
  </r>
  <r>
    <n v="934"/>
    <x v="87"/>
    <s v="CUST934"/>
    <s v="Male"/>
    <n v="30"/>
    <s v="Beauty"/>
    <n v="1"/>
    <n v="500"/>
    <n v="500"/>
  </r>
  <r>
    <n v="935"/>
    <x v="331"/>
    <s v="CUST935"/>
    <s v="Female"/>
    <n v="34"/>
    <s v="Beauty"/>
    <n v="1"/>
    <n v="50"/>
    <n v="50"/>
  </r>
  <r>
    <n v="936"/>
    <x v="227"/>
    <s v="CUST936"/>
    <s v="Male"/>
    <n v="57"/>
    <s v="Beauty"/>
    <n v="4"/>
    <n v="50"/>
    <n v="200"/>
  </r>
  <r>
    <n v="937"/>
    <x v="54"/>
    <s v="CUST937"/>
    <s v="Female"/>
    <n v="62"/>
    <s v="Beauty"/>
    <n v="1"/>
    <n v="500"/>
    <n v="500"/>
  </r>
  <r>
    <n v="938"/>
    <x v="292"/>
    <s v="CUST938"/>
    <s v="Male"/>
    <n v="49"/>
    <s v="Clothing"/>
    <n v="4"/>
    <n v="50"/>
    <n v="200"/>
  </r>
  <r>
    <n v="939"/>
    <x v="244"/>
    <s v="CUST939"/>
    <s v="Female"/>
    <n v="46"/>
    <s v="Electronics"/>
    <n v="1"/>
    <n v="300"/>
    <n v="300"/>
  </r>
  <r>
    <n v="940"/>
    <x v="185"/>
    <s v="CUST940"/>
    <s v="Female"/>
    <n v="20"/>
    <s v="Electronics"/>
    <n v="1"/>
    <n v="30"/>
    <n v="30"/>
  </r>
  <r>
    <n v="941"/>
    <x v="309"/>
    <s v="CUST941"/>
    <s v="Female"/>
    <n v="57"/>
    <s v="Clothing"/>
    <n v="2"/>
    <n v="25"/>
    <n v="50"/>
  </r>
  <r>
    <n v="942"/>
    <x v="253"/>
    <s v="CUST942"/>
    <s v="Male"/>
    <n v="51"/>
    <s v="Clothing"/>
    <n v="3"/>
    <n v="500"/>
    <n v="1500"/>
  </r>
  <r>
    <n v="943"/>
    <x v="230"/>
    <s v="CUST943"/>
    <s v="Female"/>
    <n v="57"/>
    <s v="Clothing"/>
    <n v="4"/>
    <n v="300"/>
    <n v="1200"/>
  </r>
  <r>
    <n v="944"/>
    <x v="284"/>
    <s v="CUST944"/>
    <s v="Male"/>
    <n v="44"/>
    <s v="Clothing"/>
    <n v="2"/>
    <n v="25"/>
    <n v="50"/>
  </r>
  <r>
    <n v="945"/>
    <x v="146"/>
    <s v="CUST945"/>
    <s v="Male"/>
    <n v="30"/>
    <s v="Beauty"/>
    <n v="1"/>
    <n v="25"/>
    <n v="25"/>
  </r>
  <r>
    <n v="946"/>
    <x v="193"/>
    <s v="CUST946"/>
    <s v="Male"/>
    <n v="62"/>
    <s v="Electronics"/>
    <n v="4"/>
    <n v="500"/>
    <n v="2000"/>
  </r>
  <r>
    <n v="947"/>
    <x v="340"/>
    <s v="CUST947"/>
    <s v="Male"/>
    <n v="50"/>
    <s v="Beauty"/>
    <n v="1"/>
    <n v="300"/>
    <n v="300"/>
  </r>
  <r>
    <n v="948"/>
    <x v="81"/>
    <s v="CUST948"/>
    <s v="Female"/>
    <n v="23"/>
    <s v="Electronics"/>
    <n v="3"/>
    <n v="25"/>
    <n v="75"/>
  </r>
  <r>
    <n v="949"/>
    <x v="341"/>
    <s v="CUST949"/>
    <s v="Female"/>
    <n v="41"/>
    <s v="Electronics"/>
    <n v="2"/>
    <n v="25"/>
    <n v="50"/>
  </r>
  <r>
    <n v="950"/>
    <x v="155"/>
    <s v="CUST950"/>
    <s v="Male"/>
    <n v="36"/>
    <s v="Clothing"/>
    <n v="3"/>
    <n v="300"/>
    <n v="900"/>
  </r>
  <r>
    <n v="951"/>
    <x v="113"/>
    <s v="CUST951"/>
    <s v="Male"/>
    <n v="33"/>
    <s v="Beauty"/>
    <n v="2"/>
    <n v="50"/>
    <n v="100"/>
  </r>
  <r>
    <n v="952"/>
    <x v="52"/>
    <s v="CUST952"/>
    <s v="Female"/>
    <n v="57"/>
    <s v="Clothing"/>
    <n v="1"/>
    <n v="25"/>
    <n v="25"/>
  </r>
  <r>
    <n v="953"/>
    <x v="164"/>
    <s v="CUST953"/>
    <s v="Male"/>
    <n v="45"/>
    <s v="Beauty"/>
    <n v="3"/>
    <n v="30"/>
    <n v="90"/>
  </r>
  <r>
    <n v="954"/>
    <x v="223"/>
    <s v="CUST954"/>
    <s v="Female"/>
    <n v="50"/>
    <s v="Electronics"/>
    <n v="3"/>
    <n v="300"/>
    <n v="900"/>
  </r>
  <r>
    <n v="955"/>
    <x v="37"/>
    <s v="CUST955"/>
    <s v="Male"/>
    <n v="58"/>
    <s v="Clothing"/>
    <n v="1"/>
    <n v="25"/>
    <n v="25"/>
  </r>
  <r>
    <n v="956"/>
    <x v="304"/>
    <s v="CUST956"/>
    <s v="Male"/>
    <n v="30"/>
    <s v="Clothing"/>
    <n v="3"/>
    <n v="500"/>
    <n v="1500"/>
  </r>
  <r>
    <n v="957"/>
    <x v="196"/>
    <s v="CUST957"/>
    <s v="Female"/>
    <n v="60"/>
    <s v="Electronics"/>
    <n v="4"/>
    <n v="30"/>
    <n v="120"/>
  </r>
  <r>
    <n v="958"/>
    <x v="132"/>
    <s v="CUST958"/>
    <s v="Male"/>
    <n v="62"/>
    <s v="Electronics"/>
    <n v="2"/>
    <n v="25"/>
    <n v="50"/>
  </r>
  <r>
    <n v="959"/>
    <x v="28"/>
    <s v="CUST959"/>
    <s v="Female"/>
    <n v="42"/>
    <s v="Electronics"/>
    <n v="2"/>
    <n v="30"/>
    <n v="60"/>
  </r>
  <r>
    <n v="960"/>
    <x v="102"/>
    <s v="CUST960"/>
    <s v="Male"/>
    <n v="59"/>
    <s v="Clothing"/>
    <n v="2"/>
    <n v="30"/>
    <n v="60"/>
  </r>
  <r>
    <n v="961"/>
    <x v="264"/>
    <s v="CUST961"/>
    <s v="Male"/>
    <n v="53"/>
    <s v="Beauty"/>
    <n v="4"/>
    <n v="50"/>
    <n v="200"/>
  </r>
  <r>
    <n v="962"/>
    <x v="218"/>
    <s v="CUST962"/>
    <s v="Male"/>
    <n v="44"/>
    <s v="Clothing"/>
    <n v="2"/>
    <n v="30"/>
    <n v="60"/>
  </r>
  <r>
    <n v="963"/>
    <x v="220"/>
    <s v="CUST963"/>
    <s v="Female"/>
    <n v="55"/>
    <s v="Beauty"/>
    <n v="1"/>
    <n v="50"/>
    <n v="50"/>
  </r>
  <r>
    <n v="964"/>
    <x v="169"/>
    <s v="CUST964"/>
    <s v="Male"/>
    <n v="24"/>
    <s v="Clothing"/>
    <n v="3"/>
    <n v="300"/>
    <n v="900"/>
  </r>
  <r>
    <n v="965"/>
    <x v="289"/>
    <s v="CUST965"/>
    <s v="Male"/>
    <n v="22"/>
    <s v="Clothing"/>
    <n v="4"/>
    <n v="50"/>
    <n v="200"/>
  </r>
  <r>
    <n v="966"/>
    <x v="189"/>
    <s v="CUST966"/>
    <s v="Male"/>
    <n v="60"/>
    <s v="Electronics"/>
    <n v="2"/>
    <n v="500"/>
    <n v="1000"/>
  </r>
  <r>
    <n v="967"/>
    <x v="342"/>
    <s v="CUST967"/>
    <s v="Male"/>
    <n v="62"/>
    <s v="Beauty"/>
    <n v="1"/>
    <n v="25"/>
    <n v="25"/>
  </r>
  <r>
    <n v="968"/>
    <x v="131"/>
    <s v="CUST968"/>
    <s v="Female"/>
    <n v="48"/>
    <s v="Clothing"/>
    <n v="3"/>
    <n v="300"/>
    <n v="900"/>
  </r>
  <r>
    <n v="969"/>
    <x v="90"/>
    <s v="CUST969"/>
    <s v="Female"/>
    <n v="40"/>
    <s v="Clothing"/>
    <n v="3"/>
    <n v="300"/>
    <n v="900"/>
  </r>
  <r>
    <n v="970"/>
    <x v="42"/>
    <s v="CUST970"/>
    <s v="Male"/>
    <n v="59"/>
    <s v="Electronics"/>
    <n v="4"/>
    <n v="500"/>
    <n v="2000"/>
  </r>
  <r>
    <n v="971"/>
    <x v="59"/>
    <s v="CUST971"/>
    <s v="Female"/>
    <n v="27"/>
    <s v="Electronics"/>
    <n v="4"/>
    <n v="50"/>
    <n v="200"/>
  </r>
  <r>
    <n v="972"/>
    <x v="213"/>
    <s v="CUST972"/>
    <s v="Male"/>
    <n v="49"/>
    <s v="Beauty"/>
    <n v="4"/>
    <n v="25"/>
    <n v="100"/>
  </r>
  <r>
    <n v="973"/>
    <x v="125"/>
    <s v="CUST973"/>
    <s v="Male"/>
    <n v="60"/>
    <s v="Clothing"/>
    <n v="1"/>
    <n v="50"/>
    <n v="50"/>
  </r>
  <r>
    <n v="974"/>
    <x v="143"/>
    <s v="CUST974"/>
    <s v="Male"/>
    <n v="47"/>
    <s v="Beauty"/>
    <n v="1"/>
    <n v="30"/>
    <n v="30"/>
  </r>
  <r>
    <n v="975"/>
    <x v="343"/>
    <s v="CUST975"/>
    <s v="Female"/>
    <n v="56"/>
    <s v="Clothing"/>
    <n v="4"/>
    <n v="50"/>
    <n v="200"/>
  </r>
  <r>
    <n v="976"/>
    <x v="49"/>
    <s v="CUST976"/>
    <s v="Female"/>
    <n v="48"/>
    <s v="Beauty"/>
    <n v="2"/>
    <n v="300"/>
    <n v="600"/>
  </r>
  <r>
    <n v="977"/>
    <x v="195"/>
    <s v="CUST977"/>
    <s v="Female"/>
    <n v="35"/>
    <s v="Electronics"/>
    <n v="3"/>
    <n v="25"/>
    <n v="75"/>
  </r>
  <r>
    <n v="978"/>
    <x v="125"/>
    <s v="CUST978"/>
    <s v="Female"/>
    <n v="53"/>
    <s v="Clothing"/>
    <n v="3"/>
    <n v="50"/>
    <n v="150"/>
  </r>
  <r>
    <n v="979"/>
    <x v="126"/>
    <s v="CUST979"/>
    <s v="Female"/>
    <n v="19"/>
    <s v="Beauty"/>
    <n v="1"/>
    <n v="25"/>
    <n v="25"/>
  </r>
  <r>
    <n v="980"/>
    <x v="277"/>
    <s v="CUST980"/>
    <s v="Female"/>
    <n v="31"/>
    <s v="Electronics"/>
    <n v="3"/>
    <n v="25"/>
    <n v="75"/>
  </r>
  <r>
    <n v="981"/>
    <x v="304"/>
    <s v="CUST981"/>
    <s v="Female"/>
    <n v="30"/>
    <s v="Electronics"/>
    <n v="2"/>
    <n v="30"/>
    <n v="60"/>
  </r>
  <r>
    <n v="982"/>
    <x v="80"/>
    <s v="CUST982"/>
    <s v="Female"/>
    <n v="46"/>
    <s v="Beauty"/>
    <n v="3"/>
    <n v="30"/>
    <n v="90"/>
  </r>
  <r>
    <n v="983"/>
    <x v="215"/>
    <s v="CUST983"/>
    <s v="Female"/>
    <n v="29"/>
    <s v="Clothing"/>
    <n v="1"/>
    <n v="300"/>
    <n v="300"/>
  </r>
  <r>
    <n v="984"/>
    <x v="261"/>
    <s v="CUST984"/>
    <s v="Male"/>
    <n v="56"/>
    <s v="Clothing"/>
    <n v="1"/>
    <n v="500"/>
    <n v="500"/>
  </r>
  <r>
    <n v="985"/>
    <x v="337"/>
    <s v="CUST985"/>
    <s v="Female"/>
    <n v="19"/>
    <s v="Electronics"/>
    <n v="2"/>
    <n v="25"/>
    <n v="50"/>
  </r>
  <r>
    <n v="986"/>
    <x v="13"/>
    <s v="CUST986"/>
    <s v="Female"/>
    <n v="49"/>
    <s v="Clothing"/>
    <n v="2"/>
    <n v="500"/>
    <n v="1000"/>
  </r>
  <r>
    <n v="987"/>
    <x v="310"/>
    <s v="CUST987"/>
    <s v="Female"/>
    <n v="30"/>
    <s v="Clothing"/>
    <n v="3"/>
    <n v="300"/>
    <n v="900"/>
  </r>
  <r>
    <n v="988"/>
    <x v="344"/>
    <s v="CUST988"/>
    <s v="Female"/>
    <n v="63"/>
    <s v="Clothing"/>
    <n v="3"/>
    <n v="25"/>
    <n v="75"/>
  </r>
  <r>
    <n v="989"/>
    <x v="251"/>
    <s v="CUST989"/>
    <s v="Female"/>
    <n v="44"/>
    <s v="Electronics"/>
    <n v="1"/>
    <n v="25"/>
    <n v="25"/>
  </r>
  <r>
    <n v="990"/>
    <x v="242"/>
    <s v="CUST990"/>
    <s v="Female"/>
    <n v="58"/>
    <s v="Beauty"/>
    <n v="2"/>
    <n v="500"/>
    <n v="1000"/>
  </r>
  <r>
    <n v="991"/>
    <x v="24"/>
    <s v="CUST991"/>
    <s v="Female"/>
    <n v="34"/>
    <s v="Clothing"/>
    <n v="2"/>
    <n v="50"/>
    <n v="100"/>
  </r>
  <r>
    <n v="992"/>
    <x v="63"/>
    <s v="CUST992"/>
    <s v="Female"/>
    <n v="57"/>
    <s v="Electronics"/>
    <n v="2"/>
    <n v="30"/>
    <n v="60"/>
  </r>
  <r>
    <n v="993"/>
    <x v="74"/>
    <s v="CUST993"/>
    <s v="Female"/>
    <n v="48"/>
    <s v="Electronics"/>
    <n v="3"/>
    <n v="50"/>
    <n v="150"/>
  </r>
  <r>
    <n v="994"/>
    <x v="244"/>
    <s v="CUST994"/>
    <s v="Female"/>
    <n v="51"/>
    <s v="Beauty"/>
    <n v="2"/>
    <n v="500"/>
    <n v="1000"/>
  </r>
  <r>
    <n v="995"/>
    <x v="17"/>
    <s v="CUST995"/>
    <s v="Female"/>
    <n v="41"/>
    <s v="Clothing"/>
    <n v="1"/>
    <n v="30"/>
    <n v="30"/>
  </r>
  <r>
    <n v="996"/>
    <x v="42"/>
    <s v="CUST996"/>
    <s v="Male"/>
    <n v="62"/>
    <s v="Clothing"/>
    <n v="1"/>
    <n v="50"/>
    <n v="50"/>
  </r>
  <r>
    <n v="997"/>
    <x v="131"/>
    <s v="CUST997"/>
    <s v="Male"/>
    <n v="52"/>
    <s v="Beauty"/>
    <n v="3"/>
    <n v="30"/>
    <n v="90"/>
  </r>
  <r>
    <n v="998"/>
    <x v="28"/>
    <s v="CUST998"/>
    <s v="Female"/>
    <n v="23"/>
    <s v="Beauty"/>
    <n v="4"/>
    <n v="25"/>
    <n v="100"/>
  </r>
  <r>
    <n v="999"/>
    <x v="59"/>
    <s v="CUST999"/>
    <s v="Female"/>
    <n v="36"/>
    <s v="Electronics"/>
    <n v="3"/>
    <n v="50"/>
    <n v="150"/>
  </r>
  <r>
    <n v="1000"/>
    <x v="22"/>
    <s v="CUST1000"/>
    <s v="Male"/>
    <n v="47"/>
    <s v="Electronics"/>
    <n v="4"/>
    <n v="30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1:B17" firstHeaderRow="1" firstDataRow="1" firstDataCol="1"/>
  <pivotFields count="10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0"/>
        <item x="1"/>
        <item x="2"/>
        <item x="3"/>
        <item t="default"/>
      </items>
    </pivotField>
  </pivotFields>
  <rowFields count="2">
    <field x="9"/>
    <field x="1"/>
  </rowFields>
  <rowItems count="16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t="grand">
      <x/>
    </i>
  </rowItems>
  <colItems count="1">
    <i/>
  </colItems>
  <dataFields count="1">
    <dataField name="Sum of Total Amount" fld="8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workbookViewId="0">
      <selection activeCell="L7" sqref="L7"/>
    </sheetView>
  </sheetViews>
  <sheetFormatPr defaultRowHeight="15" x14ac:dyDescent="0.25"/>
  <cols>
    <col min="1" max="1" width="13.5703125" bestFit="1" customWidth="1"/>
    <col min="2" max="2" width="12.140625" bestFit="1" customWidth="1"/>
    <col min="3" max="3" width="11.85546875" bestFit="1" customWidth="1"/>
    <col min="4" max="4" width="7.5703125" bestFit="1" customWidth="1"/>
    <col min="5" max="5" width="4.42578125" bestFit="1" customWidth="1"/>
    <col min="6" max="6" width="16.28515625" bestFit="1" customWidth="1"/>
    <col min="7" max="7" width="8.7109375" bestFit="1" customWidth="1"/>
    <col min="8" max="9" width="13.140625" bestFit="1" customWidth="1"/>
    <col min="10" max="10" width="12" bestFit="1" customWidth="1"/>
    <col min="12" max="12" width="12.140625" bestFit="1" customWidth="1"/>
  </cols>
  <sheetData>
    <row r="1" spans="1:9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25">
      <c r="A2">
        <v>1</v>
      </c>
      <c r="B2" t="s">
        <v>1037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25">
      <c r="A3">
        <v>2</v>
      </c>
      <c r="B3" t="s">
        <v>1038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25">
      <c r="A4">
        <v>3</v>
      </c>
      <c r="B4" t="s">
        <v>1039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25">
      <c r="A5">
        <v>4</v>
      </c>
      <c r="B5" t="s">
        <v>1040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25">
      <c r="A6">
        <v>5</v>
      </c>
      <c r="B6" t="s">
        <v>1041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25">
      <c r="A7">
        <v>6</v>
      </c>
      <c r="B7" t="s">
        <v>1042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25">
      <c r="A8">
        <v>7</v>
      </c>
      <c r="B8" t="s">
        <v>1043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25">
      <c r="A9">
        <v>8</v>
      </c>
      <c r="B9" t="s">
        <v>1044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25">
      <c r="A10">
        <v>9</v>
      </c>
      <c r="B10" t="s">
        <v>1045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25">
      <c r="A11">
        <v>10</v>
      </c>
      <c r="B11" t="s">
        <v>1046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25">
      <c r="A12">
        <v>11</v>
      </c>
      <c r="B12" t="s">
        <v>1047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25">
      <c r="A13">
        <v>12</v>
      </c>
      <c r="B13" t="s">
        <v>1048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25">
      <c r="A14">
        <v>13</v>
      </c>
      <c r="B14" t="s">
        <v>1049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25">
      <c r="A15">
        <v>14</v>
      </c>
      <c r="B15" t="s">
        <v>1050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25">
      <c r="A16">
        <v>15</v>
      </c>
      <c r="B16" t="s">
        <v>1051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25">
      <c r="A17">
        <v>16</v>
      </c>
      <c r="B17" t="s">
        <v>1052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25">
      <c r="A18">
        <v>17</v>
      </c>
      <c r="B18" t="s">
        <v>1053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25">
      <c r="A19">
        <v>18</v>
      </c>
      <c r="B19" t="s">
        <v>1054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25">
      <c r="A20">
        <v>19</v>
      </c>
      <c r="B20" t="s">
        <v>1055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25">
      <c r="A21">
        <v>20</v>
      </c>
      <c r="B21" t="s">
        <v>1056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25">
      <c r="A22">
        <v>21</v>
      </c>
      <c r="B22" t="s">
        <v>1057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25">
      <c r="A23">
        <v>22</v>
      </c>
      <c r="B23" t="s">
        <v>1058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25">
      <c r="A24">
        <v>23</v>
      </c>
      <c r="B24" t="s">
        <v>1059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25">
      <c r="A25">
        <v>24</v>
      </c>
      <c r="B25" t="s">
        <v>1060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25">
      <c r="A26">
        <v>25</v>
      </c>
      <c r="B26" t="s">
        <v>1061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25">
      <c r="A27">
        <v>26</v>
      </c>
      <c r="B27" t="s">
        <v>1046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25">
      <c r="A28">
        <v>27</v>
      </c>
      <c r="B28" t="s">
        <v>1062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25">
      <c r="A29">
        <v>28</v>
      </c>
      <c r="B29" t="s">
        <v>1063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25">
      <c r="A30">
        <v>29</v>
      </c>
      <c r="B30" t="s">
        <v>1064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25">
      <c r="A31">
        <v>30</v>
      </c>
      <c r="B31" t="s">
        <v>1065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25">
      <c r="A32">
        <v>31</v>
      </c>
      <c r="B32" t="s">
        <v>1066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25">
      <c r="A33">
        <v>32</v>
      </c>
      <c r="B33" t="s">
        <v>1067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25">
      <c r="A34">
        <v>33</v>
      </c>
      <c r="B34" t="s">
        <v>1068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25">
      <c r="A35">
        <v>34</v>
      </c>
      <c r="B35" t="s">
        <v>1069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25">
      <c r="A36">
        <v>35</v>
      </c>
      <c r="B36" t="s">
        <v>1049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25">
      <c r="A37">
        <v>36</v>
      </c>
      <c r="B37" t="s">
        <v>1070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25">
      <c r="A38">
        <v>37</v>
      </c>
      <c r="B38" t="s">
        <v>1066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25">
      <c r="A39">
        <v>38</v>
      </c>
      <c r="B39" t="s">
        <v>1071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25">
      <c r="A40">
        <v>39</v>
      </c>
      <c r="B40" t="s">
        <v>1072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25">
      <c r="A41">
        <v>40</v>
      </c>
      <c r="B41" t="s">
        <v>1073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25">
      <c r="A42">
        <v>41</v>
      </c>
      <c r="B42" t="s">
        <v>1044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25">
      <c r="A43">
        <v>42</v>
      </c>
      <c r="B43" t="s">
        <v>1052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25">
      <c r="A44">
        <v>43</v>
      </c>
      <c r="B44" t="s">
        <v>1074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25">
      <c r="A45">
        <v>44</v>
      </c>
      <c r="B45" t="s">
        <v>1075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25">
      <c r="A46">
        <v>45</v>
      </c>
      <c r="B46" t="s">
        <v>1076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25">
      <c r="A47">
        <v>46</v>
      </c>
      <c r="B47" t="s">
        <v>1077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25">
      <c r="A48">
        <v>47</v>
      </c>
      <c r="B48" t="s">
        <v>1078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25">
      <c r="A49">
        <v>48</v>
      </c>
      <c r="B49" t="s">
        <v>1079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25">
      <c r="A50">
        <v>49</v>
      </c>
      <c r="B50" t="s">
        <v>1080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25">
      <c r="A51">
        <v>50</v>
      </c>
      <c r="B51" t="s">
        <v>1081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25">
      <c r="A52">
        <v>51</v>
      </c>
      <c r="B52" t="s">
        <v>1082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25">
      <c r="A53">
        <v>52</v>
      </c>
      <c r="B53" t="s">
        <v>1083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25">
      <c r="A54">
        <v>53</v>
      </c>
      <c r="B54" t="s">
        <v>1084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25">
      <c r="A55">
        <v>54</v>
      </c>
      <c r="B55" t="s">
        <v>1085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25">
      <c r="A56">
        <v>55</v>
      </c>
      <c r="B56" t="s">
        <v>1086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25">
      <c r="A57">
        <v>56</v>
      </c>
      <c r="B57" t="s">
        <v>1087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25">
      <c r="A58">
        <v>57</v>
      </c>
      <c r="B58" t="s">
        <v>1088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25">
      <c r="A59">
        <v>58</v>
      </c>
      <c r="B59" t="s">
        <v>1089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25">
      <c r="A60">
        <v>59</v>
      </c>
      <c r="B60" t="s">
        <v>1090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25">
      <c r="A61">
        <v>60</v>
      </c>
      <c r="B61" t="s">
        <v>1091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25">
      <c r="A62">
        <v>61</v>
      </c>
      <c r="B62" t="s">
        <v>1092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25">
      <c r="A63">
        <v>62</v>
      </c>
      <c r="B63" t="s">
        <v>1093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25">
      <c r="A64">
        <v>63</v>
      </c>
      <c r="B64" t="s">
        <v>1094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25">
      <c r="A65">
        <v>64</v>
      </c>
      <c r="B65" t="s">
        <v>1095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25">
      <c r="A66">
        <v>65</v>
      </c>
      <c r="B66" t="s">
        <v>1096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25">
      <c r="A67">
        <v>66</v>
      </c>
      <c r="B67" t="s">
        <v>1097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25">
      <c r="A68">
        <v>67</v>
      </c>
      <c r="B68" t="s">
        <v>1098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25">
      <c r="A69">
        <v>68</v>
      </c>
      <c r="B69" t="s">
        <v>1085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25">
      <c r="A70">
        <v>69</v>
      </c>
      <c r="B70" t="s">
        <v>1054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25">
      <c r="A71">
        <v>70</v>
      </c>
      <c r="B71" t="s">
        <v>1099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25">
      <c r="A72">
        <v>71</v>
      </c>
      <c r="B72" t="s">
        <v>1074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25">
      <c r="A73">
        <v>72</v>
      </c>
      <c r="B73" t="s">
        <v>1066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25">
      <c r="A74">
        <v>73</v>
      </c>
      <c r="B74" t="s">
        <v>1100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25">
      <c r="A75">
        <v>74</v>
      </c>
      <c r="B75" t="s">
        <v>1101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25">
      <c r="A76">
        <v>75</v>
      </c>
      <c r="B76" t="s">
        <v>1102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25">
      <c r="A77">
        <v>76</v>
      </c>
      <c r="B77" t="s">
        <v>1103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25">
      <c r="A78">
        <v>77</v>
      </c>
      <c r="B78" t="s">
        <v>1104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25">
      <c r="A79">
        <v>78</v>
      </c>
      <c r="B79" t="s">
        <v>1105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25">
      <c r="A80">
        <v>79</v>
      </c>
      <c r="B80" t="s">
        <v>1106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25">
      <c r="A81">
        <v>80</v>
      </c>
      <c r="B81" t="s">
        <v>1107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25">
      <c r="A82">
        <v>81</v>
      </c>
      <c r="B82" t="s">
        <v>1108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25">
      <c r="A83">
        <v>82</v>
      </c>
      <c r="B83" t="s">
        <v>1061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25">
      <c r="A84">
        <v>83</v>
      </c>
      <c r="B84" t="s">
        <v>1109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25">
      <c r="A85">
        <v>84</v>
      </c>
      <c r="B85" t="s">
        <v>1110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25">
      <c r="A86">
        <v>85</v>
      </c>
      <c r="B86" t="s">
        <v>1111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25">
      <c r="A87">
        <v>86</v>
      </c>
      <c r="B87" t="s">
        <v>1112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25">
      <c r="A88">
        <v>87</v>
      </c>
      <c r="B88" t="s">
        <v>1101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25">
      <c r="A89">
        <v>88</v>
      </c>
      <c r="B89" t="s">
        <v>1113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25">
      <c r="A90">
        <v>89</v>
      </c>
      <c r="B90" t="s">
        <v>1114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25">
      <c r="A91">
        <v>90</v>
      </c>
      <c r="B91" t="s">
        <v>1041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25">
      <c r="A92">
        <v>91</v>
      </c>
      <c r="B92" t="s">
        <v>1103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25">
      <c r="A93">
        <v>92</v>
      </c>
      <c r="B93" t="s">
        <v>1115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25">
      <c r="A94">
        <v>93</v>
      </c>
      <c r="B94" t="s">
        <v>1074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25">
      <c r="A95">
        <v>94</v>
      </c>
      <c r="B95" t="s">
        <v>1116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25">
      <c r="A96">
        <v>95</v>
      </c>
      <c r="B96" t="s">
        <v>1037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25">
      <c r="A97">
        <v>96</v>
      </c>
      <c r="B97" t="s">
        <v>1117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25">
      <c r="A98">
        <v>97</v>
      </c>
      <c r="B98" t="s">
        <v>1118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25">
      <c r="A99">
        <v>98</v>
      </c>
      <c r="B99" t="s">
        <v>1063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25">
      <c r="A100">
        <v>99</v>
      </c>
      <c r="B100" t="s">
        <v>1119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25">
      <c r="A101">
        <v>100</v>
      </c>
      <c r="B101" t="s">
        <v>1120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25">
      <c r="A102">
        <v>101</v>
      </c>
      <c r="B102" t="s">
        <v>1121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25">
      <c r="A103">
        <v>102</v>
      </c>
      <c r="B103" t="s">
        <v>1122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25">
      <c r="A104">
        <v>103</v>
      </c>
      <c r="B104" t="s">
        <v>1050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25">
      <c r="A105">
        <v>104</v>
      </c>
      <c r="B105" t="s">
        <v>1123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25">
      <c r="A106">
        <v>105</v>
      </c>
      <c r="B106" t="s">
        <v>1124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25">
      <c r="A107">
        <v>106</v>
      </c>
      <c r="B107" t="s">
        <v>1125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25">
      <c r="A108">
        <v>107</v>
      </c>
      <c r="B108" t="s">
        <v>1126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25">
      <c r="A109">
        <v>108</v>
      </c>
      <c r="B109" t="s">
        <v>1127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25">
      <c r="A110">
        <v>109</v>
      </c>
      <c r="B110" t="s">
        <v>1128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25">
      <c r="A111">
        <v>110</v>
      </c>
      <c r="B111" t="s">
        <v>1123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25">
      <c r="A112">
        <v>111</v>
      </c>
      <c r="B112" t="s">
        <v>1127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25">
      <c r="A113">
        <v>112</v>
      </c>
      <c r="B113" t="s">
        <v>1129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25">
      <c r="A114">
        <v>113</v>
      </c>
      <c r="B114" t="s">
        <v>1130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25">
      <c r="A115">
        <v>114</v>
      </c>
      <c r="B115" t="s">
        <v>1131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25">
      <c r="A116">
        <v>115</v>
      </c>
      <c r="B116" t="s">
        <v>1132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25">
      <c r="A117">
        <v>116</v>
      </c>
      <c r="B117" t="s">
        <v>1133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25">
      <c r="A118">
        <v>117</v>
      </c>
      <c r="B118" t="s">
        <v>1134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25">
      <c r="A119">
        <v>118</v>
      </c>
      <c r="B119" t="s">
        <v>1079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25">
      <c r="A120">
        <v>119</v>
      </c>
      <c r="B120" t="s">
        <v>1043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25">
      <c r="A121">
        <v>120</v>
      </c>
      <c r="B121" t="s">
        <v>1135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25">
      <c r="A122">
        <v>121</v>
      </c>
      <c r="B122" t="s">
        <v>1058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25">
      <c r="A123">
        <v>122</v>
      </c>
      <c r="B123" t="s">
        <v>1136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25">
      <c r="A124">
        <v>123</v>
      </c>
      <c r="B124" t="s">
        <v>1137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25">
      <c r="A125">
        <v>124</v>
      </c>
      <c r="B125" t="s">
        <v>1138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25">
      <c r="A126">
        <v>125</v>
      </c>
      <c r="B126" t="s">
        <v>1139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25">
      <c r="A127">
        <v>126</v>
      </c>
      <c r="B127" t="s">
        <v>1140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25">
      <c r="A128">
        <v>127</v>
      </c>
      <c r="B128" t="s">
        <v>1141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25">
      <c r="A129">
        <v>128</v>
      </c>
      <c r="B129" t="s">
        <v>1090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25">
      <c r="A130">
        <v>129</v>
      </c>
      <c r="B130" t="s">
        <v>1063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25">
      <c r="A131">
        <v>130</v>
      </c>
      <c r="B131" t="s">
        <v>1142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25">
      <c r="A132">
        <v>131</v>
      </c>
      <c r="B132" t="s">
        <v>1143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25">
      <c r="A133">
        <v>132</v>
      </c>
      <c r="B133" t="s">
        <v>1144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25">
      <c r="A134">
        <v>133</v>
      </c>
      <c r="B134" t="s">
        <v>1145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25">
      <c r="A135">
        <v>134</v>
      </c>
      <c r="B135" t="s">
        <v>1146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25">
      <c r="A136">
        <v>135</v>
      </c>
      <c r="B136" t="s">
        <v>1147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25">
      <c r="A137">
        <v>136</v>
      </c>
      <c r="B137" t="s">
        <v>1148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25">
      <c r="A138">
        <v>137</v>
      </c>
      <c r="B138" t="s">
        <v>1088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25">
      <c r="A139">
        <v>138</v>
      </c>
      <c r="B139" t="s">
        <v>1068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25">
      <c r="A140">
        <v>139</v>
      </c>
      <c r="B140" t="s">
        <v>1149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25">
      <c r="A141">
        <v>140</v>
      </c>
      <c r="B141" t="s">
        <v>1049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25">
      <c r="A142">
        <v>141</v>
      </c>
      <c r="B142" t="s">
        <v>1150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25">
      <c r="A143">
        <v>142</v>
      </c>
      <c r="B143" t="s">
        <v>1151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25">
      <c r="A144">
        <v>143</v>
      </c>
      <c r="B144" t="s">
        <v>1152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25">
      <c r="A145">
        <v>144</v>
      </c>
      <c r="B145" t="s">
        <v>1153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25">
      <c r="A146">
        <v>145</v>
      </c>
      <c r="B146" t="s">
        <v>1150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25">
      <c r="A147">
        <v>146</v>
      </c>
      <c r="B147" t="s">
        <v>1154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25">
      <c r="A148">
        <v>147</v>
      </c>
      <c r="B148" t="s">
        <v>1155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25">
      <c r="A149">
        <v>148</v>
      </c>
      <c r="B149" t="s">
        <v>1156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25">
      <c r="A150">
        <v>149</v>
      </c>
      <c r="B150" t="s">
        <v>1157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25">
      <c r="A151">
        <v>150</v>
      </c>
      <c r="B151" t="s">
        <v>1158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25">
      <c r="A152">
        <v>151</v>
      </c>
      <c r="B152" t="s">
        <v>1149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25">
      <c r="A153">
        <v>152</v>
      </c>
      <c r="B153" t="s">
        <v>1159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25">
      <c r="A154">
        <v>153</v>
      </c>
      <c r="B154" t="s">
        <v>1109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25">
      <c r="A155">
        <v>154</v>
      </c>
      <c r="B155" t="s">
        <v>1082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25">
      <c r="A156">
        <v>155</v>
      </c>
      <c r="B156" t="s">
        <v>1108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25">
      <c r="A157">
        <v>156</v>
      </c>
      <c r="B157" t="s">
        <v>1160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25">
      <c r="A158">
        <v>157</v>
      </c>
      <c r="B158" t="s">
        <v>1070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25">
      <c r="A159">
        <v>158</v>
      </c>
      <c r="B159" t="s">
        <v>1038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25">
      <c r="A160">
        <v>159</v>
      </c>
      <c r="B160" t="s">
        <v>1087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25">
      <c r="A161">
        <v>160</v>
      </c>
      <c r="B161" t="s">
        <v>1161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25">
      <c r="A162">
        <v>161</v>
      </c>
      <c r="B162" t="s">
        <v>1162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25">
      <c r="A163">
        <v>162</v>
      </c>
      <c r="B163" t="s">
        <v>1100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25">
      <c r="A164">
        <v>163</v>
      </c>
      <c r="B164" t="s">
        <v>1163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25">
      <c r="A165">
        <v>164</v>
      </c>
      <c r="B165" t="s">
        <v>1137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25">
      <c r="A166">
        <v>165</v>
      </c>
      <c r="B166" t="s">
        <v>1164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25">
      <c r="A167">
        <v>166</v>
      </c>
      <c r="B167" t="s">
        <v>1165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25">
      <c r="A168">
        <v>167</v>
      </c>
      <c r="B168" t="s">
        <v>1166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25">
      <c r="A169">
        <v>168</v>
      </c>
      <c r="B169" t="s">
        <v>1167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25">
      <c r="A170">
        <v>169</v>
      </c>
      <c r="B170" t="s">
        <v>1168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25">
      <c r="A171">
        <v>170</v>
      </c>
      <c r="B171" t="s">
        <v>1169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25">
      <c r="A172">
        <v>171</v>
      </c>
      <c r="B172" t="s">
        <v>1037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25">
      <c r="A173">
        <v>172</v>
      </c>
      <c r="B173" t="s">
        <v>1166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25">
      <c r="A174">
        <v>173</v>
      </c>
      <c r="B174" t="s">
        <v>1112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25">
      <c r="A175">
        <v>174</v>
      </c>
      <c r="B175" t="s">
        <v>1059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25">
      <c r="A176">
        <v>175</v>
      </c>
      <c r="B176" t="s">
        <v>1148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25">
      <c r="A177">
        <v>176</v>
      </c>
      <c r="B177" t="s">
        <v>1170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25">
      <c r="A178">
        <v>177</v>
      </c>
      <c r="B178" t="s">
        <v>1171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25">
      <c r="A179">
        <v>178</v>
      </c>
      <c r="B179" t="s">
        <v>1172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25">
      <c r="A180">
        <v>179</v>
      </c>
      <c r="B180" t="s">
        <v>1173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25">
      <c r="A181">
        <v>180</v>
      </c>
      <c r="B181" t="s">
        <v>1174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25">
      <c r="A182">
        <v>181</v>
      </c>
      <c r="B182" t="s">
        <v>1175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25">
      <c r="A183">
        <v>182</v>
      </c>
      <c r="B183" t="s">
        <v>1176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25">
      <c r="A184">
        <v>183</v>
      </c>
      <c r="B184" t="s">
        <v>1177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25">
      <c r="A185">
        <v>184</v>
      </c>
      <c r="B185" t="s">
        <v>1178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25">
      <c r="A186">
        <v>185</v>
      </c>
      <c r="B186" t="s">
        <v>1038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25">
      <c r="A187">
        <v>186</v>
      </c>
      <c r="B187" t="s">
        <v>1090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25">
      <c r="A188">
        <v>187</v>
      </c>
      <c r="B188" t="s">
        <v>1179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25">
      <c r="A189">
        <v>188</v>
      </c>
      <c r="B189" t="s">
        <v>1180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25">
      <c r="A190">
        <v>189</v>
      </c>
      <c r="B190" t="s">
        <v>1181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25">
      <c r="A191">
        <v>190</v>
      </c>
      <c r="B191" t="s">
        <v>1182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25">
      <c r="A192">
        <v>191</v>
      </c>
      <c r="B192" t="s">
        <v>1128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25">
      <c r="A193">
        <v>192</v>
      </c>
      <c r="B193" t="s">
        <v>1085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25">
      <c r="A194">
        <v>193</v>
      </c>
      <c r="B194" t="s">
        <v>1183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25">
      <c r="A195">
        <v>194</v>
      </c>
      <c r="B195" t="s">
        <v>1184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25">
      <c r="A196">
        <v>195</v>
      </c>
      <c r="B196" t="s">
        <v>1094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25">
      <c r="A197">
        <v>196</v>
      </c>
      <c r="B197" t="s">
        <v>1185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25">
      <c r="A198">
        <v>197</v>
      </c>
      <c r="B198" t="s">
        <v>1186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25">
      <c r="A199">
        <v>198</v>
      </c>
      <c r="B199" t="s">
        <v>1187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25">
      <c r="A200">
        <v>199</v>
      </c>
      <c r="B200" t="s">
        <v>1188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25">
      <c r="A201">
        <v>200</v>
      </c>
      <c r="B201" t="s">
        <v>1189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25">
      <c r="A202">
        <v>201</v>
      </c>
      <c r="B202" t="s">
        <v>1190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25">
      <c r="A203">
        <v>202</v>
      </c>
      <c r="B203" t="s">
        <v>1191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25">
      <c r="A204">
        <v>203</v>
      </c>
      <c r="B204" t="s">
        <v>1079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25">
      <c r="A205">
        <v>204</v>
      </c>
      <c r="B205" t="s">
        <v>1155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25">
      <c r="A206">
        <v>205</v>
      </c>
      <c r="B206" t="s">
        <v>1192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25">
      <c r="A207">
        <v>206</v>
      </c>
      <c r="B207" t="s">
        <v>1049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25">
      <c r="A208">
        <v>207</v>
      </c>
      <c r="B208" t="s">
        <v>1127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25">
      <c r="A209">
        <v>208</v>
      </c>
      <c r="B209" t="s">
        <v>1172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25">
      <c r="A210">
        <v>209</v>
      </c>
      <c r="B210" t="s">
        <v>1193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25">
      <c r="A211">
        <v>210</v>
      </c>
      <c r="B211" t="s">
        <v>1194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25">
      <c r="A212">
        <v>211</v>
      </c>
      <c r="B212" t="s">
        <v>1195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25">
      <c r="A213">
        <v>212</v>
      </c>
      <c r="B213" t="s">
        <v>1196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25">
      <c r="A214">
        <v>213</v>
      </c>
      <c r="B214" t="s">
        <v>1141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25">
      <c r="A215">
        <v>214</v>
      </c>
      <c r="B215" t="s">
        <v>1107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25">
      <c r="A216">
        <v>215</v>
      </c>
      <c r="B216" t="s">
        <v>1060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25">
      <c r="A217">
        <v>216</v>
      </c>
      <c r="B217" t="s">
        <v>1170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25">
      <c r="A218">
        <v>217</v>
      </c>
      <c r="B218" t="s">
        <v>1197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25">
      <c r="A219">
        <v>218</v>
      </c>
      <c r="B219" t="s">
        <v>1198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25">
      <c r="A220">
        <v>219</v>
      </c>
      <c r="B220" t="s">
        <v>1199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25">
      <c r="A221">
        <v>220</v>
      </c>
      <c r="B221" t="s">
        <v>1200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25">
      <c r="A222">
        <v>221</v>
      </c>
      <c r="B222" t="s">
        <v>1135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25">
      <c r="A223">
        <v>222</v>
      </c>
      <c r="B223" t="s">
        <v>1201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25">
      <c r="A224">
        <v>223</v>
      </c>
      <c r="B224" t="s">
        <v>1151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25">
      <c r="A225">
        <v>224</v>
      </c>
      <c r="B225" t="s">
        <v>1202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25">
      <c r="A226">
        <v>225</v>
      </c>
      <c r="B226" t="s">
        <v>1203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25">
      <c r="A227">
        <v>226</v>
      </c>
      <c r="B227" t="s">
        <v>1065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25">
      <c r="A228">
        <v>227</v>
      </c>
      <c r="B228" t="s">
        <v>1157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25">
      <c r="A229">
        <v>228</v>
      </c>
      <c r="B229" t="s">
        <v>1122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25">
      <c r="A230">
        <v>229</v>
      </c>
      <c r="B230" t="s">
        <v>1065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25">
      <c r="A231">
        <v>230</v>
      </c>
      <c r="B231" t="s">
        <v>1063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25">
      <c r="A232">
        <v>231</v>
      </c>
      <c r="B232" t="s">
        <v>1067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25">
      <c r="A233">
        <v>232</v>
      </c>
      <c r="B233" t="s">
        <v>1111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25">
      <c r="A234">
        <v>233</v>
      </c>
      <c r="B234" t="s">
        <v>1204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25">
      <c r="A235">
        <v>234</v>
      </c>
      <c r="B235" t="s">
        <v>1205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25">
      <c r="A236">
        <v>235</v>
      </c>
      <c r="B236" t="s">
        <v>1206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25">
      <c r="A237">
        <v>236</v>
      </c>
      <c r="B237" t="s">
        <v>1122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25">
      <c r="A238">
        <v>237</v>
      </c>
      <c r="B238" t="s">
        <v>1207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25">
      <c r="A239">
        <v>238</v>
      </c>
      <c r="B239" t="s">
        <v>1050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25">
      <c r="A240">
        <v>239</v>
      </c>
      <c r="B240" t="s">
        <v>1208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25">
      <c r="A241">
        <v>240</v>
      </c>
      <c r="B241" t="s">
        <v>1111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25">
      <c r="A242">
        <v>241</v>
      </c>
      <c r="B242" t="s">
        <v>1209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25">
      <c r="A243">
        <v>242</v>
      </c>
      <c r="B243" t="s">
        <v>1210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25">
      <c r="A244">
        <v>243</v>
      </c>
      <c r="B244" t="s">
        <v>1066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25">
      <c r="A245">
        <v>244</v>
      </c>
      <c r="B245" t="s">
        <v>1211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25">
      <c r="A246">
        <v>245</v>
      </c>
      <c r="B246" t="s">
        <v>1184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25">
      <c r="A247">
        <v>246</v>
      </c>
      <c r="B247" t="s">
        <v>1212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25">
      <c r="A248">
        <v>247</v>
      </c>
      <c r="B248" t="s">
        <v>1172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25">
      <c r="A249">
        <v>248</v>
      </c>
      <c r="B249" t="s">
        <v>1213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25">
      <c r="A250">
        <v>249</v>
      </c>
      <c r="B250" t="s">
        <v>1214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25">
      <c r="A251">
        <v>250</v>
      </c>
      <c r="B251" t="s">
        <v>1091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25">
      <c r="A252">
        <v>251</v>
      </c>
      <c r="B252" t="s">
        <v>1215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25">
      <c r="A253">
        <v>252</v>
      </c>
      <c r="B253" t="s">
        <v>1216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25">
      <c r="A254">
        <v>253</v>
      </c>
      <c r="B254" t="s">
        <v>1215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25">
      <c r="A255">
        <v>254</v>
      </c>
      <c r="B255" t="s">
        <v>1217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25">
      <c r="A256">
        <v>255</v>
      </c>
      <c r="B256" t="s">
        <v>1218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25">
      <c r="A257">
        <v>256</v>
      </c>
      <c r="B257" t="s">
        <v>1219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25">
      <c r="A258">
        <v>257</v>
      </c>
      <c r="B258" t="s">
        <v>1075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25">
      <c r="A259">
        <v>258</v>
      </c>
      <c r="B259" t="s">
        <v>1188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25">
      <c r="A260">
        <v>259</v>
      </c>
      <c r="B260" t="s">
        <v>1220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25">
      <c r="A261">
        <v>260</v>
      </c>
      <c r="B261" t="s">
        <v>1105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25">
      <c r="A262">
        <v>261</v>
      </c>
      <c r="B262" t="s">
        <v>1049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25">
      <c r="A263">
        <v>262</v>
      </c>
      <c r="B263" t="s">
        <v>1221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25">
      <c r="A264">
        <v>263</v>
      </c>
      <c r="B264" t="s">
        <v>1154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25">
      <c r="A265">
        <v>264</v>
      </c>
      <c r="B265" t="s">
        <v>1222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25">
      <c r="A266">
        <v>265</v>
      </c>
      <c r="B266" t="s">
        <v>1223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25">
      <c r="A267">
        <v>266</v>
      </c>
      <c r="B267" t="s">
        <v>1224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25">
      <c r="A268">
        <v>267</v>
      </c>
      <c r="B268" t="s">
        <v>1225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25">
      <c r="A269">
        <v>268</v>
      </c>
      <c r="B269" t="s">
        <v>1226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25">
      <c r="A270">
        <v>269</v>
      </c>
      <c r="B270" t="s">
        <v>1227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25">
      <c r="A271">
        <v>270</v>
      </c>
      <c r="B271" t="s">
        <v>1228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25">
      <c r="A272">
        <v>271</v>
      </c>
      <c r="B272" t="s">
        <v>1202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25">
      <c r="A273">
        <v>272</v>
      </c>
      <c r="B273" t="s">
        <v>1229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25">
      <c r="A274">
        <v>273</v>
      </c>
      <c r="B274" t="s">
        <v>1230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25">
      <c r="A275">
        <v>274</v>
      </c>
      <c r="B275" t="s">
        <v>1092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25">
      <c r="A276">
        <v>275</v>
      </c>
      <c r="B276" t="s">
        <v>1218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25">
      <c r="A277">
        <v>276</v>
      </c>
      <c r="B277" t="s">
        <v>1082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25">
      <c r="A278">
        <v>277</v>
      </c>
      <c r="B278" t="s">
        <v>1064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25">
      <c r="A279">
        <v>278</v>
      </c>
      <c r="B279" t="s">
        <v>1043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25">
      <c r="A280">
        <v>279</v>
      </c>
      <c r="B280" t="s">
        <v>1049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25">
      <c r="A281">
        <v>280</v>
      </c>
      <c r="B281" t="s">
        <v>1231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25">
      <c r="A282">
        <v>281</v>
      </c>
      <c r="B282" t="s">
        <v>1066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25">
      <c r="A283">
        <v>282</v>
      </c>
      <c r="B283" t="s">
        <v>1115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25">
      <c r="A284">
        <v>283</v>
      </c>
      <c r="B284" t="s">
        <v>1230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25">
      <c r="A285">
        <v>284</v>
      </c>
      <c r="B285" t="s">
        <v>1232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25">
      <c r="A286">
        <v>285</v>
      </c>
      <c r="B286" t="s">
        <v>1233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25">
      <c r="A287">
        <v>286</v>
      </c>
      <c r="B287" t="s">
        <v>1190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25">
      <c r="A288">
        <v>287</v>
      </c>
      <c r="B288" t="s">
        <v>1226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25">
      <c r="A289">
        <v>288</v>
      </c>
      <c r="B289" t="s">
        <v>1234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25">
      <c r="A290">
        <v>289</v>
      </c>
      <c r="B290" t="s">
        <v>1235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25">
      <c r="A291">
        <v>290</v>
      </c>
      <c r="B291" t="s">
        <v>1172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25">
      <c r="A292">
        <v>291</v>
      </c>
      <c r="B292" t="s">
        <v>1236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25">
      <c r="A293">
        <v>292</v>
      </c>
      <c r="B293" t="s">
        <v>1052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25">
      <c r="A294">
        <v>293</v>
      </c>
      <c r="B294" t="s">
        <v>1210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25">
      <c r="A295">
        <v>294</v>
      </c>
      <c r="B295" t="s">
        <v>1237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25">
      <c r="A296">
        <v>295</v>
      </c>
      <c r="B296" t="s">
        <v>1217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25">
      <c r="A297">
        <v>296</v>
      </c>
      <c r="B297" t="s">
        <v>1184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25">
      <c r="A298">
        <v>297</v>
      </c>
      <c r="B298" t="s">
        <v>1238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25">
      <c r="A299">
        <v>298</v>
      </c>
      <c r="B299" t="s">
        <v>1212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25">
      <c r="A300">
        <v>299</v>
      </c>
      <c r="B300" t="s">
        <v>1124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25">
      <c r="A301">
        <v>300</v>
      </c>
      <c r="B301" t="s">
        <v>1206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25">
      <c r="A302">
        <v>301</v>
      </c>
      <c r="B302" t="s">
        <v>1191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25">
      <c r="A303">
        <v>302</v>
      </c>
      <c r="B303" t="s">
        <v>1074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25">
      <c r="A304">
        <v>303</v>
      </c>
      <c r="B304" t="s">
        <v>1163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25">
      <c r="A305">
        <v>304</v>
      </c>
      <c r="B305" t="s">
        <v>1239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25">
      <c r="A306">
        <v>305</v>
      </c>
      <c r="B306" t="s">
        <v>1079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25">
      <c r="A307">
        <v>306</v>
      </c>
      <c r="B307" t="s">
        <v>1100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25">
      <c r="A308">
        <v>307</v>
      </c>
      <c r="B308" t="s">
        <v>1240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25">
      <c r="A309">
        <v>308</v>
      </c>
      <c r="B309" t="s">
        <v>1049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25">
      <c r="A310">
        <v>309</v>
      </c>
      <c r="B310" t="s">
        <v>1241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25">
      <c r="A311">
        <v>310</v>
      </c>
      <c r="B311" t="s">
        <v>1242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25">
      <c r="A312">
        <v>311</v>
      </c>
      <c r="B312" t="s">
        <v>1096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25">
      <c r="A313">
        <v>312</v>
      </c>
      <c r="B313" t="s">
        <v>1243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25">
      <c r="A314">
        <v>313</v>
      </c>
      <c r="B314" t="s">
        <v>1071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25">
      <c r="A315">
        <v>314</v>
      </c>
      <c r="B315" t="s">
        <v>1218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25">
      <c r="A316">
        <v>315</v>
      </c>
      <c r="B316" t="s">
        <v>1244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25">
      <c r="A317">
        <v>316</v>
      </c>
      <c r="B317" t="s">
        <v>1053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25">
      <c r="A318">
        <v>317</v>
      </c>
      <c r="B318" t="s">
        <v>1181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25">
      <c r="A319">
        <v>318</v>
      </c>
      <c r="B319" t="s">
        <v>1245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25">
      <c r="A320">
        <v>319</v>
      </c>
      <c r="B320" t="s">
        <v>1246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25">
      <c r="A321">
        <v>320</v>
      </c>
      <c r="B321" t="s">
        <v>1227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25">
      <c r="A322">
        <v>321</v>
      </c>
      <c r="B322" t="s">
        <v>1247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25">
      <c r="A323">
        <v>322</v>
      </c>
      <c r="B323" t="s">
        <v>1181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25">
      <c r="A324">
        <v>323</v>
      </c>
      <c r="B324" t="s">
        <v>1234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25">
      <c r="A325">
        <v>324</v>
      </c>
      <c r="B325" t="s">
        <v>1138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25">
      <c r="A326">
        <v>325</v>
      </c>
      <c r="B326" t="s">
        <v>1248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25">
      <c r="A327">
        <v>326</v>
      </c>
      <c r="B327" t="s">
        <v>1249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25">
      <c r="A328">
        <v>327</v>
      </c>
      <c r="B328" t="s">
        <v>1173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25">
      <c r="A329">
        <v>328</v>
      </c>
      <c r="B329" t="s">
        <v>1162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25">
      <c r="A330">
        <v>329</v>
      </c>
      <c r="B330" t="s">
        <v>1181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25">
      <c r="A331">
        <v>330</v>
      </c>
      <c r="B331" t="s">
        <v>1143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25">
      <c r="A332">
        <v>331</v>
      </c>
      <c r="B332" t="s">
        <v>1250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25">
      <c r="A333">
        <v>332</v>
      </c>
      <c r="B333" t="s">
        <v>1251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25">
      <c r="A334">
        <v>333</v>
      </c>
      <c r="B334" t="s">
        <v>1094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25">
      <c r="A335">
        <v>334</v>
      </c>
      <c r="B335" t="s">
        <v>1252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25">
      <c r="A336">
        <v>335</v>
      </c>
      <c r="B336" t="s">
        <v>1207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25">
      <c r="A337">
        <v>336</v>
      </c>
      <c r="B337" t="s">
        <v>1253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25">
      <c r="A338">
        <v>337</v>
      </c>
      <c r="B338" t="s">
        <v>1254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25">
      <c r="A339">
        <v>338</v>
      </c>
      <c r="B339" t="s">
        <v>1228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25">
      <c r="A340">
        <v>339</v>
      </c>
      <c r="B340" t="s">
        <v>1200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25">
      <c r="A341">
        <v>340</v>
      </c>
      <c r="B341" t="s">
        <v>1255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25">
      <c r="A342">
        <v>341</v>
      </c>
      <c r="B342" t="s">
        <v>1135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25">
      <c r="A343">
        <v>342</v>
      </c>
      <c r="B343" t="s">
        <v>1245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25">
      <c r="A344">
        <v>343</v>
      </c>
      <c r="B344" t="s">
        <v>1252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25">
      <c r="A345">
        <v>344</v>
      </c>
      <c r="B345" t="s">
        <v>1256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25">
      <c r="A346">
        <v>345</v>
      </c>
      <c r="B346" t="s">
        <v>1257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25">
      <c r="A347">
        <v>346</v>
      </c>
      <c r="B347" t="s">
        <v>1250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25">
      <c r="A348">
        <v>347</v>
      </c>
      <c r="B348" t="s">
        <v>1062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25">
      <c r="A349">
        <v>348</v>
      </c>
      <c r="B349" t="s">
        <v>1258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25">
      <c r="A350">
        <v>349</v>
      </c>
      <c r="B350" t="s">
        <v>1140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25">
      <c r="A351">
        <v>350</v>
      </c>
      <c r="B351" t="s">
        <v>1259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25">
      <c r="A352">
        <v>351</v>
      </c>
      <c r="B352" t="s">
        <v>1260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25">
      <c r="A353">
        <v>352</v>
      </c>
      <c r="B353" t="s">
        <v>1123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25">
      <c r="A354">
        <v>353</v>
      </c>
      <c r="B354" t="s">
        <v>1261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25">
      <c r="A355">
        <v>354</v>
      </c>
      <c r="B355" t="s">
        <v>1262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25">
      <c r="A356">
        <v>355</v>
      </c>
      <c r="B356" t="s">
        <v>1211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25">
      <c r="A357">
        <v>356</v>
      </c>
      <c r="B357" t="s">
        <v>1247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25">
      <c r="A358">
        <v>357</v>
      </c>
      <c r="B358" t="s">
        <v>1180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25">
      <c r="A359">
        <v>358</v>
      </c>
      <c r="B359" t="s">
        <v>1079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25">
      <c r="A360">
        <v>359</v>
      </c>
      <c r="B360" t="s">
        <v>1131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25">
      <c r="A361">
        <v>360</v>
      </c>
      <c r="B361" t="s">
        <v>1213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25">
      <c r="A362">
        <v>361</v>
      </c>
      <c r="B362" t="s">
        <v>1107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25">
      <c r="A363">
        <v>362</v>
      </c>
      <c r="B363" t="s">
        <v>1225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25">
      <c r="A364">
        <v>363</v>
      </c>
      <c r="B364" t="s">
        <v>1263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25">
      <c r="A365">
        <v>364</v>
      </c>
      <c r="B365" t="s">
        <v>1133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25">
      <c r="A366">
        <v>365</v>
      </c>
      <c r="B366" t="s">
        <v>1123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25">
      <c r="A367">
        <v>366</v>
      </c>
      <c r="B367" t="s">
        <v>1264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25">
      <c r="A368">
        <v>367</v>
      </c>
      <c r="B368" t="s">
        <v>1265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25">
      <c r="A369">
        <v>368</v>
      </c>
      <c r="B369" t="s">
        <v>1133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25">
      <c r="A370">
        <v>369</v>
      </c>
      <c r="B370" t="s">
        <v>1266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25">
      <c r="A371">
        <v>370</v>
      </c>
      <c r="B371" t="s">
        <v>1267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25">
      <c r="A372">
        <v>371</v>
      </c>
      <c r="B372" t="s">
        <v>1099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25">
      <c r="A373">
        <v>372</v>
      </c>
      <c r="B373" t="s">
        <v>1264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25">
      <c r="A374">
        <v>373</v>
      </c>
      <c r="B374" t="s">
        <v>1136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25">
      <c r="A375">
        <v>374</v>
      </c>
      <c r="B375" t="s">
        <v>1212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25">
      <c r="A376">
        <v>375</v>
      </c>
      <c r="B376" t="s">
        <v>1166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25">
      <c r="A377">
        <v>376</v>
      </c>
      <c r="B377" t="s">
        <v>1079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25">
      <c r="A378">
        <v>377</v>
      </c>
      <c r="B378" t="s">
        <v>1213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25">
      <c r="A379">
        <v>378</v>
      </c>
      <c r="B379" t="s">
        <v>1268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25">
      <c r="A380">
        <v>379</v>
      </c>
      <c r="B380" t="s">
        <v>1094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25">
      <c r="A381">
        <v>380</v>
      </c>
      <c r="B381" t="s">
        <v>1041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25">
      <c r="A382">
        <v>381</v>
      </c>
      <c r="B382" t="s">
        <v>1104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25">
      <c r="A383">
        <v>382</v>
      </c>
      <c r="B383" t="s">
        <v>1269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25">
      <c r="A384">
        <v>383</v>
      </c>
      <c r="B384" t="s">
        <v>1162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25">
      <c r="A385">
        <v>384</v>
      </c>
      <c r="B385" t="s">
        <v>1197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25">
      <c r="A386">
        <v>385</v>
      </c>
      <c r="B386" t="s">
        <v>1270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25">
      <c r="A387">
        <v>386</v>
      </c>
      <c r="B387" t="s">
        <v>1093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25">
      <c r="A388">
        <v>387</v>
      </c>
      <c r="B388" t="s">
        <v>1271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25">
      <c r="A389">
        <v>388</v>
      </c>
      <c r="B389" t="s">
        <v>1272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25">
      <c r="A390">
        <v>389</v>
      </c>
      <c r="B390" t="s">
        <v>1224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25">
      <c r="A391">
        <v>390</v>
      </c>
      <c r="B391" t="s">
        <v>1155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25">
      <c r="A392">
        <v>391</v>
      </c>
      <c r="B392" t="s">
        <v>1265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25">
      <c r="A393">
        <v>392</v>
      </c>
      <c r="B393" t="s">
        <v>1273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25">
      <c r="A394">
        <v>393</v>
      </c>
      <c r="B394" t="s">
        <v>1157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25">
      <c r="A395">
        <v>394</v>
      </c>
      <c r="B395" t="s">
        <v>1263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25">
      <c r="A396">
        <v>395</v>
      </c>
      <c r="B396" t="s">
        <v>1274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25">
      <c r="A397">
        <v>396</v>
      </c>
      <c r="B397" t="s">
        <v>1275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25">
      <c r="A398">
        <v>397</v>
      </c>
      <c r="B398" t="s">
        <v>1276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25">
      <c r="A399">
        <v>398</v>
      </c>
      <c r="B399" t="s">
        <v>1079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25">
      <c r="A400">
        <v>399</v>
      </c>
      <c r="B400" t="s">
        <v>1277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25">
      <c r="A401">
        <v>400</v>
      </c>
      <c r="B401" t="s">
        <v>1167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25">
      <c r="A402">
        <v>401</v>
      </c>
      <c r="B402" t="s">
        <v>1157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25">
      <c r="A403">
        <v>402</v>
      </c>
      <c r="B403" t="s">
        <v>1071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25">
      <c r="A404">
        <v>403</v>
      </c>
      <c r="B404" t="s">
        <v>1278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25">
      <c r="A405">
        <v>404</v>
      </c>
      <c r="B405" t="s">
        <v>1279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25">
      <c r="A406">
        <v>405</v>
      </c>
      <c r="B406" t="s">
        <v>1078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25">
      <c r="A407">
        <v>406</v>
      </c>
      <c r="B407" t="s">
        <v>1106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25">
      <c r="A408">
        <v>407</v>
      </c>
      <c r="B408" t="s">
        <v>1280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25">
      <c r="A409">
        <v>408</v>
      </c>
      <c r="B409" t="s">
        <v>1262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25">
      <c r="A410">
        <v>409</v>
      </c>
      <c r="B410" t="s">
        <v>1281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25">
      <c r="A411">
        <v>410</v>
      </c>
      <c r="B411" t="s">
        <v>1282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25">
      <c r="A412">
        <v>411</v>
      </c>
      <c r="B412" t="s">
        <v>1079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25">
      <c r="A413">
        <v>412</v>
      </c>
      <c r="B413" t="s">
        <v>1055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25">
      <c r="A414">
        <v>413</v>
      </c>
      <c r="B414" t="s">
        <v>1177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25">
      <c r="A415">
        <v>414</v>
      </c>
      <c r="B415" t="s">
        <v>1156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25">
      <c r="A416">
        <v>415</v>
      </c>
      <c r="B416" t="s">
        <v>1283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25">
      <c r="A417">
        <v>416</v>
      </c>
      <c r="B417" t="s">
        <v>1052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25">
      <c r="A418">
        <v>417</v>
      </c>
      <c r="B418" t="s">
        <v>1282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25">
      <c r="A419">
        <v>418</v>
      </c>
      <c r="B419" t="s">
        <v>1049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25">
      <c r="A420">
        <v>419</v>
      </c>
      <c r="B420" t="s">
        <v>1284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25">
      <c r="A421">
        <v>420</v>
      </c>
      <c r="B421" t="s">
        <v>1080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25">
      <c r="A422">
        <v>421</v>
      </c>
      <c r="B422" t="s">
        <v>1163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25">
      <c r="A423">
        <v>422</v>
      </c>
      <c r="B423" t="s">
        <v>1285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25">
      <c r="A424">
        <v>423</v>
      </c>
      <c r="B424" t="s">
        <v>1286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25">
      <c r="A425">
        <v>424</v>
      </c>
      <c r="B425" t="s">
        <v>1287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25">
      <c r="A426">
        <v>425</v>
      </c>
      <c r="B426" t="s">
        <v>1137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25">
      <c r="A427">
        <v>426</v>
      </c>
      <c r="B427" t="s">
        <v>1171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25">
      <c r="A428">
        <v>427</v>
      </c>
      <c r="B428" t="s">
        <v>1233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25">
      <c r="A429">
        <v>428</v>
      </c>
      <c r="B429" t="s">
        <v>1086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25">
      <c r="A430">
        <v>429</v>
      </c>
      <c r="B430" t="s">
        <v>1288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25">
      <c r="A431">
        <v>430</v>
      </c>
      <c r="B431" t="s">
        <v>1289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25">
      <c r="A432">
        <v>431</v>
      </c>
      <c r="B432" t="s">
        <v>1058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25">
      <c r="A433">
        <v>432</v>
      </c>
      <c r="B433" t="s">
        <v>1265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25">
      <c r="A434">
        <v>433</v>
      </c>
      <c r="B434" t="s">
        <v>1038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25">
      <c r="A435">
        <v>434</v>
      </c>
      <c r="B435" t="s">
        <v>1232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25">
      <c r="A436">
        <v>435</v>
      </c>
      <c r="B436" t="s">
        <v>1193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25">
      <c r="A437">
        <v>436</v>
      </c>
      <c r="B437" t="s">
        <v>1290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25">
      <c r="A438">
        <v>437</v>
      </c>
      <c r="B438" t="s">
        <v>1046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25">
      <c r="A439">
        <v>438</v>
      </c>
      <c r="B439" t="s">
        <v>1291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25">
      <c r="A440">
        <v>439</v>
      </c>
      <c r="B440" t="s">
        <v>1104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25">
      <c r="A441">
        <v>440</v>
      </c>
      <c r="B441" t="s">
        <v>1140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25">
      <c r="A442">
        <v>441</v>
      </c>
      <c r="B442" t="s">
        <v>1086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25">
      <c r="A443">
        <v>442</v>
      </c>
      <c r="B443" t="s">
        <v>1292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25">
      <c r="A444">
        <v>443</v>
      </c>
      <c r="B444" t="s">
        <v>1220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25">
      <c r="A445">
        <v>444</v>
      </c>
      <c r="B445" t="s">
        <v>1187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25">
      <c r="A446">
        <v>445</v>
      </c>
      <c r="B446" t="s">
        <v>1293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25">
      <c r="A447">
        <v>446</v>
      </c>
      <c r="B447" t="s">
        <v>1179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25">
      <c r="A448">
        <v>447</v>
      </c>
      <c r="B448" t="s">
        <v>1102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25">
      <c r="A449">
        <v>448</v>
      </c>
      <c r="B449" t="s">
        <v>1256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25">
      <c r="A450">
        <v>449</v>
      </c>
      <c r="B450" t="s">
        <v>1076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25">
      <c r="A451">
        <v>450</v>
      </c>
      <c r="B451" t="s">
        <v>1106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25">
      <c r="A452">
        <v>451</v>
      </c>
      <c r="B452" t="s">
        <v>1109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25">
      <c r="A453">
        <v>452</v>
      </c>
      <c r="B453" t="s">
        <v>1230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25">
      <c r="A454">
        <v>453</v>
      </c>
      <c r="B454" t="s">
        <v>1273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25">
      <c r="A455">
        <v>454</v>
      </c>
      <c r="B455" t="s">
        <v>1044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25">
      <c r="A456">
        <v>455</v>
      </c>
      <c r="B456" t="s">
        <v>1105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25">
      <c r="A457">
        <v>456</v>
      </c>
      <c r="B457" t="s">
        <v>1294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25">
      <c r="A458">
        <v>457</v>
      </c>
      <c r="B458" t="s">
        <v>1217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25">
      <c r="A459">
        <v>458</v>
      </c>
      <c r="B459" t="s">
        <v>1257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25">
      <c r="A460">
        <v>459</v>
      </c>
      <c r="B460" t="s">
        <v>1071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25">
      <c r="A461">
        <v>460</v>
      </c>
      <c r="B461" t="s">
        <v>1210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25">
      <c r="A462">
        <v>461</v>
      </c>
      <c r="B462" t="s">
        <v>1103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25">
      <c r="A463">
        <v>462</v>
      </c>
      <c r="B463" t="s">
        <v>1295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25">
      <c r="A464">
        <v>463</v>
      </c>
      <c r="B464" t="s">
        <v>1296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25">
      <c r="A465">
        <v>464</v>
      </c>
      <c r="B465" t="s">
        <v>1039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25">
      <c r="A466">
        <v>465</v>
      </c>
      <c r="B466" t="s">
        <v>1165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25">
      <c r="A467">
        <v>466</v>
      </c>
      <c r="B467" t="s">
        <v>1285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25">
      <c r="A468">
        <v>467</v>
      </c>
      <c r="B468" t="s">
        <v>1221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25">
      <c r="A469">
        <v>468</v>
      </c>
      <c r="B469" t="s">
        <v>1211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25">
      <c r="A470">
        <v>469</v>
      </c>
      <c r="B470" t="s">
        <v>1230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25">
      <c r="A471">
        <v>470</v>
      </c>
      <c r="B471" t="s">
        <v>1108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25">
      <c r="A472">
        <v>471</v>
      </c>
      <c r="B472" t="s">
        <v>1068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25">
      <c r="A473">
        <v>472</v>
      </c>
      <c r="B473" t="s">
        <v>1061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25">
      <c r="A474">
        <v>473</v>
      </c>
      <c r="B474" t="s">
        <v>1229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25">
      <c r="A475">
        <v>474</v>
      </c>
      <c r="B475" t="s">
        <v>1153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25">
      <c r="A476">
        <v>475</v>
      </c>
      <c r="B476" t="s">
        <v>1297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25">
      <c r="A477">
        <v>476</v>
      </c>
      <c r="B477" t="s">
        <v>1298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25">
      <c r="A478">
        <v>477</v>
      </c>
      <c r="B478" t="s">
        <v>1299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25">
      <c r="A479">
        <v>478</v>
      </c>
      <c r="B479" t="s">
        <v>1194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25">
      <c r="A480">
        <v>479</v>
      </c>
      <c r="B480" t="s">
        <v>1081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25">
      <c r="A481">
        <v>480</v>
      </c>
      <c r="B481" t="s">
        <v>1300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25">
      <c r="A482">
        <v>481</v>
      </c>
      <c r="B482" t="s">
        <v>1301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25">
      <c r="A483">
        <v>482</v>
      </c>
      <c r="B483" t="s">
        <v>1097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25">
      <c r="A484">
        <v>483</v>
      </c>
      <c r="B484" t="s">
        <v>1042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25">
      <c r="A485">
        <v>484</v>
      </c>
      <c r="B485" t="s">
        <v>1039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25">
      <c r="A486">
        <v>485</v>
      </c>
      <c r="B486" t="s">
        <v>1188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25">
      <c r="A487">
        <v>486</v>
      </c>
      <c r="B487" t="s">
        <v>1092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25">
      <c r="A488">
        <v>487</v>
      </c>
      <c r="B488" t="s">
        <v>1141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25">
      <c r="A489">
        <v>488</v>
      </c>
      <c r="B489" t="s">
        <v>1302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25">
      <c r="A490">
        <v>489</v>
      </c>
      <c r="B490" t="s">
        <v>1066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25">
      <c r="A491">
        <v>490</v>
      </c>
      <c r="B491" t="s">
        <v>1094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25">
      <c r="A492">
        <v>491</v>
      </c>
      <c r="B492" t="s">
        <v>1066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25">
      <c r="A493">
        <v>492</v>
      </c>
      <c r="B493" t="s">
        <v>1300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25">
      <c r="A494">
        <v>493</v>
      </c>
      <c r="B494" t="s">
        <v>1160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25">
      <c r="A495">
        <v>494</v>
      </c>
      <c r="B495" t="s">
        <v>1143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25">
      <c r="A496">
        <v>495</v>
      </c>
      <c r="B496" t="s">
        <v>1141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25">
      <c r="A497">
        <v>496</v>
      </c>
      <c r="B497" t="s">
        <v>1303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25">
      <c r="A498">
        <v>497</v>
      </c>
      <c r="B498" t="s">
        <v>1082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25">
      <c r="A499">
        <v>498</v>
      </c>
      <c r="B499" t="s">
        <v>1208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25">
      <c r="A500">
        <v>499</v>
      </c>
      <c r="B500" t="s">
        <v>1304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25">
      <c r="A501">
        <v>500</v>
      </c>
      <c r="B501" t="s">
        <v>1277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25">
      <c r="A502">
        <v>501</v>
      </c>
      <c r="B502" t="s">
        <v>1261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25">
      <c r="A503">
        <v>502</v>
      </c>
      <c r="B503" t="s">
        <v>1165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25">
      <c r="A504">
        <v>503</v>
      </c>
      <c r="B504" t="s">
        <v>1305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25">
      <c r="A505">
        <v>504</v>
      </c>
      <c r="B505" t="s">
        <v>1079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25">
      <c r="A506">
        <v>505</v>
      </c>
      <c r="B506" t="s">
        <v>1297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25">
      <c r="A507">
        <v>506</v>
      </c>
      <c r="B507" t="s">
        <v>1229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25">
      <c r="A508">
        <v>507</v>
      </c>
      <c r="B508" t="s">
        <v>1150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25">
      <c r="A509">
        <v>508</v>
      </c>
      <c r="B509" t="s">
        <v>1161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25">
      <c r="A510">
        <v>509</v>
      </c>
      <c r="B510" t="s">
        <v>1077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25">
      <c r="A511">
        <v>510</v>
      </c>
      <c r="B511" t="s">
        <v>1247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25">
      <c r="A512">
        <v>511</v>
      </c>
      <c r="B512" t="s">
        <v>1306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25">
      <c r="A513">
        <v>512</v>
      </c>
      <c r="B513" t="s">
        <v>1192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25">
      <c r="A514">
        <v>513</v>
      </c>
      <c r="B514" t="s">
        <v>1307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25">
      <c r="A515">
        <v>514</v>
      </c>
      <c r="B515" t="s">
        <v>1277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25">
      <c r="A516">
        <v>515</v>
      </c>
      <c r="B516" t="s">
        <v>1152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25">
      <c r="A517">
        <v>516</v>
      </c>
      <c r="B517" t="s">
        <v>1091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25">
      <c r="A518">
        <v>517</v>
      </c>
      <c r="B518" t="s">
        <v>1218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25">
      <c r="A519">
        <v>518</v>
      </c>
      <c r="B519" t="s">
        <v>1308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25">
      <c r="A520">
        <v>519</v>
      </c>
      <c r="B520" t="s">
        <v>1080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25">
      <c r="A521">
        <v>520</v>
      </c>
      <c r="B521" t="s">
        <v>1204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25">
      <c r="A522">
        <v>521</v>
      </c>
      <c r="B522" t="s">
        <v>1306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25">
      <c r="A523">
        <v>522</v>
      </c>
      <c r="B523" t="s">
        <v>1174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25">
      <c r="A524">
        <v>523</v>
      </c>
      <c r="B524" t="s">
        <v>1309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25">
      <c r="A525">
        <v>524</v>
      </c>
      <c r="B525" t="s">
        <v>1136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25">
      <c r="A526">
        <v>525</v>
      </c>
      <c r="B526" t="s">
        <v>1281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25">
      <c r="A527">
        <v>526</v>
      </c>
      <c r="B527" t="s">
        <v>1107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25">
      <c r="A528">
        <v>527</v>
      </c>
      <c r="B528" t="s">
        <v>1310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25">
      <c r="A529">
        <v>528</v>
      </c>
      <c r="B529" t="s">
        <v>1102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25">
      <c r="A530">
        <v>529</v>
      </c>
      <c r="B530" t="s">
        <v>1220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25">
      <c r="A531">
        <v>530</v>
      </c>
      <c r="B531" t="s">
        <v>1094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25">
      <c r="A532">
        <v>531</v>
      </c>
      <c r="B532" t="s">
        <v>1311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25">
      <c r="A533">
        <v>532</v>
      </c>
      <c r="B533" t="s">
        <v>1208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25">
      <c r="A534">
        <v>533</v>
      </c>
      <c r="B534" t="s">
        <v>1312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25">
      <c r="A535">
        <v>534</v>
      </c>
      <c r="B535" t="s">
        <v>1247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25">
      <c r="A536">
        <v>535</v>
      </c>
      <c r="B536" t="s">
        <v>1274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25">
      <c r="A537">
        <v>536</v>
      </c>
      <c r="B537" t="s">
        <v>1083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25">
      <c r="A538">
        <v>537</v>
      </c>
      <c r="B538" t="s">
        <v>1263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25">
      <c r="A539">
        <v>538</v>
      </c>
      <c r="B539" t="s">
        <v>1166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25">
      <c r="A540">
        <v>539</v>
      </c>
      <c r="B540" t="s">
        <v>1313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25">
      <c r="A541">
        <v>540</v>
      </c>
      <c r="B541" t="s">
        <v>1273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25">
      <c r="A542">
        <v>541</v>
      </c>
      <c r="B542" t="s">
        <v>1314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25">
      <c r="A543">
        <v>542</v>
      </c>
      <c r="B543" t="s">
        <v>1315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25">
      <c r="A544">
        <v>543</v>
      </c>
      <c r="B544" t="s">
        <v>1228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25">
      <c r="A545">
        <v>544</v>
      </c>
      <c r="B545" t="s">
        <v>1241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25">
      <c r="A546">
        <v>545</v>
      </c>
      <c r="B546" t="s">
        <v>1244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25">
      <c r="A547">
        <v>546</v>
      </c>
      <c r="B547" t="s">
        <v>1157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25">
      <c r="A548">
        <v>547</v>
      </c>
      <c r="B548" t="s">
        <v>1187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25">
      <c r="A549">
        <v>548</v>
      </c>
      <c r="B549" t="s">
        <v>1092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25">
      <c r="A550">
        <v>549</v>
      </c>
      <c r="B550" t="s">
        <v>1316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25">
      <c r="A551">
        <v>550</v>
      </c>
      <c r="B551" t="s">
        <v>1311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25">
      <c r="A552">
        <v>551</v>
      </c>
      <c r="B552" t="s">
        <v>1074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25">
      <c r="A553">
        <v>552</v>
      </c>
      <c r="B553" t="s">
        <v>1045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25">
      <c r="A554">
        <v>553</v>
      </c>
      <c r="B554" t="s">
        <v>1317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25">
      <c r="A555">
        <v>554</v>
      </c>
      <c r="B555" t="s">
        <v>1318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25">
      <c r="A556">
        <v>555</v>
      </c>
      <c r="B556" t="s">
        <v>1255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25">
      <c r="A557">
        <v>556</v>
      </c>
      <c r="B557" t="s">
        <v>1271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25">
      <c r="A558">
        <v>557</v>
      </c>
      <c r="B558" t="s">
        <v>1319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25">
      <c r="A559">
        <v>558</v>
      </c>
      <c r="B559" t="s">
        <v>1320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25">
      <c r="A560">
        <v>559</v>
      </c>
      <c r="B560" t="s">
        <v>1174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25">
      <c r="A561">
        <v>560</v>
      </c>
      <c r="B561" t="s">
        <v>1321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25">
      <c r="A562">
        <v>561</v>
      </c>
      <c r="B562" t="s">
        <v>1240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25">
      <c r="A563">
        <v>562</v>
      </c>
      <c r="B563" t="s">
        <v>1106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25">
      <c r="A564">
        <v>563</v>
      </c>
      <c r="B564" t="s">
        <v>1220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25">
      <c r="A565">
        <v>564</v>
      </c>
      <c r="B565" t="s">
        <v>1245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25">
      <c r="A566">
        <v>565</v>
      </c>
      <c r="B566" t="s">
        <v>1192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25">
      <c r="A567">
        <v>566</v>
      </c>
      <c r="B567" t="s">
        <v>1129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25">
      <c r="A568">
        <v>567</v>
      </c>
      <c r="B568" t="s">
        <v>1322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25">
      <c r="A569">
        <v>568</v>
      </c>
      <c r="B569" t="s">
        <v>1323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25">
      <c r="A570">
        <v>569</v>
      </c>
      <c r="B570" t="s">
        <v>1233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25">
      <c r="A571">
        <v>570</v>
      </c>
      <c r="B571" t="s">
        <v>1233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25">
      <c r="A572">
        <v>571</v>
      </c>
      <c r="B572" t="s">
        <v>1253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25">
      <c r="A573">
        <v>572</v>
      </c>
      <c r="B573" t="s">
        <v>1212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25">
      <c r="A574">
        <v>573</v>
      </c>
      <c r="B574" t="s">
        <v>1307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25">
      <c r="A575">
        <v>574</v>
      </c>
      <c r="B575" t="s">
        <v>1215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25">
      <c r="A576">
        <v>575</v>
      </c>
      <c r="B576" t="s">
        <v>1324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25">
      <c r="A577">
        <v>576</v>
      </c>
      <c r="B577" t="s">
        <v>1188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25">
      <c r="A578">
        <v>577</v>
      </c>
      <c r="B578" t="s">
        <v>1183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25">
      <c r="A579">
        <v>578</v>
      </c>
      <c r="B579" t="s">
        <v>1269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25">
      <c r="A580">
        <v>579</v>
      </c>
      <c r="B580" t="s">
        <v>1209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25">
      <c r="A581">
        <v>580</v>
      </c>
      <c r="B581" t="s">
        <v>1274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25">
      <c r="A582">
        <v>581</v>
      </c>
      <c r="B582" t="s">
        <v>1282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25">
      <c r="A583">
        <v>582</v>
      </c>
      <c r="B583" t="s">
        <v>1257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25">
      <c r="A584">
        <v>583</v>
      </c>
      <c r="B584" t="s">
        <v>1325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25">
      <c r="A585">
        <v>584</v>
      </c>
      <c r="B585" t="s">
        <v>1052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25">
      <c r="A586">
        <v>585</v>
      </c>
      <c r="B586" t="s">
        <v>1254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25">
      <c r="A587">
        <v>586</v>
      </c>
      <c r="B587" t="s">
        <v>1223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25">
      <c r="A588">
        <v>587</v>
      </c>
      <c r="B588" t="s">
        <v>1313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25">
      <c r="A589">
        <v>588</v>
      </c>
      <c r="B589" t="s">
        <v>1201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25">
      <c r="A590">
        <v>589</v>
      </c>
      <c r="B590" t="s">
        <v>1059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25">
      <c r="A591">
        <v>590</v>
      </c>
      <c r="B591" t="s">
        <v>1292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25">
      <c r="A592">
        <v>591</v>
      </c>
      <c r="B592" t="s">
        <v>1039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25">
      <c r="A593">
        <v>592</v>
      </c>
      <c r="B593" t="s">
        <v>1095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25">
      <c r="A594">
        <v>593</v>
      </c>
      <c r="B594" t="s">
        <v>1041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25">
      <c r="A595">
        <v>594</v>
      </c>
      <c r="B595" t="s">
        <v>1189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25">
      <c r="A596">
        <v>595</v>
      </c>
      <c r="B596" t="s">
        <v>1326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25">
      <c r="A597">
        <v>596</v>
      </c>
      <c r="B597" t="s">
        <v>1264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25">
      <c r="A598">
        <v>597</v>
      </c>
      <c r="B598" t="s">
        <v>1327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25">
      <c r="A599">
        <v>598</v>
      </c>
      <c r="B599" t="s">
        <v>1328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25">
      <c r="A600">
        <v>599</v>
      </c>
      <c r="B600" t="s">
        <v>1329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25">
      <c r="A601">
        <v>600</v>
      </c>
      <c r="B601" t="s">
        <v>1330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25">
      <c r="A602">
        <v>601</v>
      </c>
      <c r="B602" t="s">
        <v>1331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25">
      <c r="A603">
        <v>602</v>
      </c>
      <c r="B603" t="s">
        <v>1241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25">
      <c r="A604">
        <v>603</v>
      </c>
      <c r="B604" t="s">
        <v>1332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25">
      <c r="A605">
        <v>604</v>
      </c>
      <c r="B605" t="s">
        <v>1333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25">
      <c r="A606">
        <v>605</v>
      </c>
      <c r="B606" t="s">
        <v>1141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25">
      <c r="A607">
        <v>606</v>
      </c>
      <c r="B607" t="s">
        <v>1216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25">
      <c r="A608">
        <v>607</v>
      </c>
      <c r="B608" t="s">
        <v>1292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25">
      <c r="A609">
        <v>608</v>
      </c>
      <c r="B609" t="s">
        <v>1129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25">
      <c r="A610">
        <v>609</v>
      </c>
      <c r="B610" t="s">
        <v>1117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25">
      <c r="A611">
        <v>610</v>
      </c>
      <c r="B611" t="s">
        <v>1334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25">
      <c r="A612">
        <v>611</v>
      </c>
      <c r="B612" t="s">
        <v>1167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25">
      <c r="A613">
        <v>612</v>
      </c>
      <c r="B613" t="s">
        <v>1335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25">
      <c r="A614">
        <v>613</v>
      </c>
      <c r="B614" t="s">
        <v>1063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25">
      <c r="A615">
        <v>614</v>
      </c>
      <c r="B615" t="s">
        <v>1295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25">
      <c r="A616">
        <v>615</v>
      </c>
      <c r="B616" t="s">
        <v>1241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25">
      <c r="A617">
        <v>616</v>
      </c>
      <c r="B617" t="s">
        <v>1336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25">
      <c r="A618">
        <v>617</v>
      </c>
      <c r="B618" t="s">
        <v>1337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25">
      <c r="A619">
        <v>618</v>
      </c>
      <c r="B619" t="s">
        <v>1234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25">
      <c r="A620">
        <v>619</v>
      </c>
      <c r="B620" t="s">
        <v>1118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25">
      <c r="A621">
        <v>620</v>
      </c>
      <c r="B621" t="s">
        <v>1230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25">
      <c r="A622">
        <v>621</v>
      </c>
      <c r="B622" t="s">
        <v>1338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25">
      <c r="A623">
        <v>622</v>
      </c>
      <c r="B623" t="s">
        <v>1327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25">
      <c r="A624">
        <v>623</v>
      </c>
      <c r="B624" t="s">
        <v>1276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25">
      <c r="A625">
        <v>624</v>
      </c>
      <c r="B625" t="s">
        <v>1337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25">
      <c r="A626">
        <v>625</v>
      </c>
      <c r="B626" t="s">
        <v>1273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25">
      <c r="A627">
        <v>626</v>
      </c>
      <c r="B627" t="s">
        <v>1173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25">
      <c r="A628">
        <v>627</v>
      </c>
      <c r="B628" t="s">
        <v>1294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25">
      <c r="A629">
        <v>628</v>
      </c>
      <c r="B629" t="s">
        <v>1252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25">
      <c r="A630">
        <v>629</v>
      </c>
      <c r="B630" t="s">
        <v>1339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25">
      <c r="A631">
        <v>630</v>
      </c>
      <c r="B631" t="s">
        <v>1233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25">
      <c r="A632">
        <v>631</v>
      </c>
      <c r="B632" t="s">
        <v>1272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25">
      <c r="A633">
        <v>632</v>
      </c>
      <c r="B633" t="s">
        <v>1055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25">
      <c r="A634">
        <v>633</v>
      </c>
      <c r="B634" t="s">
        <v>1289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25">
      <c r="A635">
        <v>634</v>
      </c>
      <c r="B635" t="s">
        <v>1320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25">
      <c r="A636">
        <v>635</v>
      </c>
      <c r="B636" t="s">
        <v>1340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25">
      <c r="A637">
        <v>636</v>
      </c>
      <c r="B637" t="s">
        <v>1068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25">
      <c r="A638">
        <v>637</v>
      </c>
      <c r="B638" t="s">
        <v>1189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25">
      <c r="A639">
        <v>638</v>
      </c>
      <c r="B639" t="s">
        <v>1341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25">
      <c r="A640">
        <v>639</v>
      </c>
      <c r="B640" t="s">
        <v>1342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25">
      <c r="A641">
        <v>640</v>
      </c>
      <c r="B641" t="s">
        <v>1135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25">
      <c r="A642">
        <v>641</v>
      </c>
      <c r="B642" t="s">
        <v>1287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25">
      <c r="A643">
        <v>642</v>
      </c>
      <c r="B643" t="s">
        <v>1284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25">
      <c r="A644">
        <v>643</v>
      </c>
      <c r="B644" t="s">
        <v>1309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25">
      <c r="A645">
        <v>644</v>
      </c>
      <c r="B645" t="s">
        <v>1184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25">
      <c r="A646">
        <v>645</v>
      </c>
      <c r="B646" t="s">
        <v>1168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25">
      <c r="A647">
        <v>646</v>
      </c>
      <c r="B647" t="s">
        <v>1180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25">
      <c r="A648">
        <v>647</v>
      </c>
      <c r="B648" t="s">
        <v>1040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25">
      <c r="A649">
        <v>648</v>
      </c>
      <c r="B649" t="s">
        <v>1343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25">
      <c r="A650">
        <v>649</v>
      </c>
      <c r="B650" t="s">
        <v>1344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25">
      <c r="A651">
        <v>650</v>
      </c>
      <c r="B651" t="s">
        <v>1195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25">
      <c r="A652">
        <v>651</v>
      </c>
      <c r="B652" t="s">
        <v>1240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25">
      <c r="A653">
        <v>652</v>
      </c>
      <c r="B653" t="s">
        <v>1254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25">
      <c r="A654">
        <v>653</v>
      </c>
      <c r="B654" t="s">
        <v>1278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25">
      <c r="A655">
        <v>654</v>
      </c>
      <c r="B655" t="s">
        <v>1325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25">
      <c r="A656">
        <v>655</v>
      </c>
      <c r="B656" t="s">
        <v>1345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25">
      <c r="A657">
        <v>656</v>
      </c>
      <c r="B657" t="s">
        <v>1172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25">
      <c r="A658">
        <v>657</v>
      </c>
      <c r="B658" t="s">
        <v>1250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25">
      <c r="A659">
        <v>658</v>
      </c>
      <c r="B659" t="s">
        <v>1142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25">
      <c r="A660">
        <v>659</v>
      </c>
      <c r="B660" t="s">
        <v>1346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25">
      <c r="A661">
        <v>660</v>
      </c>
      <c r="B661" t="s">
        <v>1347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25">
      <c r="A662">
        <v>661</v>
      </c>
      <c r="B662" t="s">
        <v>1332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25">
      <c r="A663">
        <v>662</v>
      </c>
      <c r="B663" t="s">
        <v>1348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25">
      <c r="A664">
        <v>663</v>
      </c>
      <c r="B664" t="s">
        <v>1148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25">
      <c r="A665">
        <v>664</v>
      </c>
      <c r="B665" t="s">
        <v>1288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25">
      <c r="A666">
        <v>665</v>
      </c>
      <c r="B666" t="s">
        <v>1212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25">
      <c r="A667">
        <v>666</v>
      </c>
      <c r="B667" t="s">
        <v>1151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25">
      <c r="A668">
        <v>667</v>
      </c>
      <c r="B668" t="s">
        <v>1328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25">
      <c r="A669">
        <v>668</v>
      </c>
      <c r="B669" t="s">
        <v>1217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25">
      <c r="A670">
        <v>669</v>
      </c>
      <c r="B670" t="s">
        <v>1208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25">
      <c r="A671">
        <v>670</v>
      </c>
      <c r="B671" t="s">
        <v>1246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25">
      <c r="A672">
        <v>671</v>
      </c>
      <c r="B672" t="s">
        <v>1323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25">
      <c r="A673">
        <v>672</v>
      </c>
      <c r="B673" t="s">
        <v>1328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25">
      <c r="A674">
        <v>673</v>
      </c>
      <c r="B674" t="s">
        <v>1227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25">
      <c r="A675">
        <v>674</v>
      </c>
      <c r="B675" t="s">
        <v>1349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25">
      <c r="A676">
        <v>675</v>
      </c>
      <c r="B676" t="s">
        <v>1316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25">
      <c r="A677">
        <v>676</v>
      </c>
      <c r="B677" t="s">
        <v>1239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25">
      <c r="A678">
        <v>677</v>
      </c>
      <c r="B678" t="s">
        <v>1138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25">
      <c r="A679">
        <v>678</v>
      </c>
      <c r="B679" t="s">
        <v>1241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25">
      <c r="A680">
        <v>679</v>
      </c>
      <c r="B680" t="s">
        <v>1203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25">
      <c r="A681">
        <v>680</v>
      </c>
      <c r="B681" t="s">
        <v>1330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25">
      <c r="A682">
        <v>681</v>
      </c>
      <c r="B682" t="s">
        <v>1074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25">
      <c r="A683">
        <v>682</v>
      </c>
      <c r="B683" t="s">
        <v>1248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25">
      <c r="A684">
        <v>683</v>
      </c>
      <c r="B684" t="s">
        <v>1067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25">
      <c r="A685">
        <v>684</v>
      </c>
      <c r="B685" t="s">
        <v>1350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25">
      <c r="A686">
        <v>685</v>
      </c>
      <c r="B686" t="s">
        <v>1169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25">
      <c r="A687">
        <v>686</v>
      </c>
      <c r="B687" t="s">
        <v>1239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25">
      <c r="A688">
        <v>687</v>
      </c>
      <c r="B688" t="s">
        <v>1062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25">
      <c r="A689">
        <v>688</v>
      </c>
      <c r="B689" t="s">
        <v>1136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25">
      <c r="A690">
        <v>689</v>
      </c>
      <c r="B690" t="s">
        <v>1046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25">
      <c r="A691">
        <v>690</v>
      </c>
      <c r="B691" t="s">
        <v>1056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25">
      <c r="A692">
        <v>691</v>
      </c>
      <c r="B692" t="s">
        <v>1063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25">
      <c r="A693">
        <v>692</v>
      </c>
      <c r="B693" t="s">
        <v>1243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25">
      <c r="A694">
        <v>693</v>
      </c>
      <c r="B694" t="s">
        <v>1063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25">
      <c r="A695">
        <v>694</v>
      </c>
      <c r="B695" t="s">
        <v>1278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25">
      <c r="A696">
        <v>695</v>
      </c>
      <c r="B696" t="s">
        <v>1306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25">
      <c r="A697">
        <v>696</v>
      </c>
      <c r="B697" t="s">
        <v>1184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25">
      <c r="A698">
        <v>697</v>
      </c>
      <c r="B698" t="s">
        <v>1304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25">
      <c r="A699">
        <v>698</v>
      </c>
      <c r="B699" t="s">
        <v>1239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25">
      <c r="A700">
        <v>699</v>
      </c>
      <c r="B700" t="s">
        <v>1073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25">
      <c r="A701">
        <v>700</v>
      </c>
      <c r="B701" t="s">
        <v>1211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25">
      <c r="A702">
        <v>701</v>
      </c>
      <c r="B702" t="s">
        <v>1303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25">
      <c r="A703">
        <v>702</v>
      </c>
      <c r="B703" t="s">
        <v>1319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25">
      <c r="A704">
        <v>703</v>
      </c>
      <c r="B704" t="s">
        <v>1191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25">
      <c r="A705">
        <v>704</v>
      </c>
      <c r="B705" t="s">
        <v>1154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25">
      <c r="A706">
        <v>705</v>
      </c>
      <c r="B706" t="s">
        <v>1187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25">
      <c r="A707">
        <v>706</v>
      </c>
      <c r="B707" t="s">
        <v>1266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25">
      <c r="A708">
        <v>707</v>
      </c>
      <c r="B708" t="s">
        <v>1114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25">
      <c r="A709">
        <v>708</v>
      </c>
      <c r="B709" t="s">
        <v>1057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25">
      <c r="A710">
        <v>709</v>
      </c>
      <c r="B710" t="s">
        <v>1351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25">
      <c r="A711">
        <v>710</v>
      </c>
      <c r="B711" t="s">
        <v>1352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25">
      <c r="A712">
        <v>711</v>
      </c>
      <c r="B712" t="s">
        <v>1267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25">
      <c r="A713">
        <v>712</v>
      </c>
      <c r="B713" t="s">
        <v>1274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25">
      <c r="A714">
        <v>713</v>
      </c>
      <c r="B714" t="s">
        <v>1057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25">
      <c r="A715">
        <v>714</v>
      </c>
      <c r="B715" t="s">
        <v>1353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25">
      <c r="A716">
        <v>715</v>
      </c>
      <c r="B716" t="s">
        <v>1132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25">
      <c r="A717">
        <v>716</v>
      </c>
      <c r="B717" t="s">
        <v>1139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25">
      <c r="A718">
        <v>717</v>
      </c>
      <c r="B718" t="s">
        <v>1354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25">
      <c r="A719">
        <v>718</v>
      </c>
      <c r="B719" t="s">
        <v>1115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25">
      <c r="A720">
        <v>719</v>
      </c>
      <c r="B720" t="s">
        <v>1231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25">
      <c r="A721">
        <v>720</v>
      </c>
      <c r="B721" t="s">
        <v>1234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25">
      <c r="A722">
        <v>721</v>
      </c>
      <c r="B722" t="s">
        <v>1261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25">
      <c r="A723">
        <v>722</v>
      </c>
      <c r="B723" t="s">
        <v>1074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25">
      <c r="A724">
        <v>723</v>
      </c>
      <c r="B724" t="s">
        <v>1315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25">
      <c r="A725">
        <v>724</v>
      </c>
      <c r="B725" t="s">
        <v>1127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25">
      <c r="A726">
        <v>725</v>
      </c>
      <c r="B726" t="s">
        <v>1100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25">
      <c r="A727">
        <v>726</v>
      </c>
      <c r="B727" t="s">
        <v>1315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25">
      <c r="A728">
        <v>727</v>
      </c>
      <c r="B728" t="s">
        <v>1073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25">
      <c r="A729">
        <v>728</v>
      </c>
      <c r="B729" t="s">
        <v>1074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25">
      <c r="A730">
        <v>729</v>
      </c>
      <c r="B730" t="s">
        <v>1066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25">
      <c r="A731">
        <v>730</v>
      </c>
      <c r="B731" t="s">
        <v>1316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25">
      <c r="A732">
        <v>731</v>
      </c>
      <c r="B732" t="s">
        <v>1355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25">
      <c r="A733">
        <v>732</v>
      </c>
      <c r="B733" t="s">
        <v>1250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25">
      <c r="A734">
        <v>733</v>
      </c>
      <c r="B734" t="s">
        <v>1298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25">
      <c r="A735">
        <v>734</v>
      </c>
      <c r="B735" t="s">
        <v>1178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25">
      <c r="A736">
        <v>735</v>
      </c>
      <c r="B736" t="s">
        <v>1172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25">
      <c r="A737">
        <v>736</v>
      </c>
      <c r="B737" t="s">
        <v>1283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25">
      <c r="A738">
        <v>737</v>
      </c>
      <c r="B738" t="s">
        <v>1300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25">
      <c r="A739">
        <v>738</v>
      </c>
      <c r="B739" t="s">
        <v>1042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25">
      <c r="A740">
        <v>739</v>
      </c>
      <c r="B740" t="s">
        <v>1060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25">
      <c r="A741">
        <v>740</v>
      </c>
      <c r="B741" t="s">
        <v>1094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25">
      <c r="A742">
        <v>741</v>
      </c>
      <c r="B742" t="s">
        <v>1235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25">
      <c r="A743">
        <v>742</v>
      </c>
      <c r="B743" t="s">
        <v>1256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25">
      <c r="A744">
        <v>743</v>
      </c>
      <c r="B744" t="s">
        <v>1051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25">
      <c r="A745">
        <v>744</v>
      </c>
      <c r="B745" t="s">
        <v>1135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25">
      <c r="A746">
        <v>745</v>
      </c>
      <c r="B746" t="s">
        <v>1194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25">
      <c r="A747">
        <v>746</v>
      </c>
      <c r="B747" t="s">
        <v>1203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25">
      <c r="A748">
        <v>747</v>
      </c>
      <c r="B748" t="s">
        <v>1266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25">
      <c r="A749">
        <v>748</v>
      </c>
      <c r="B749" t="s">
        <v>1148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25">
      <c r="A750">
        <v>749</v>
      </c>
      <c r="B750" t="s">
        <v>1180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25">
      <c r="A751">
        <v>750</v>
      </c>
      <c r="B751" t="s">
        <v>1186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25">
      <c r="A752">
        <v>751</v>
      </c>
      <c r="B752" t="s">
        <v>1215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25">
      <c r="A753">
        <v>752</v>
      </c>
      <c r="B753" t="s">
        <v>1211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25">
      <c r="A754">
        <v>753</v>
      </c>
      <c r="B754" t="s">
        <v>1159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25">
      <c r="A755">
        <v>754</v>
      </c>
      <c r="B755" t="s">
        <v>1267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25">
      <c r="A756">
        <v>755</v>
      </c>
      <c r="B756" t="s">
        <v>1053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25">
      <c r="A757">
        <v>756</v>
      </c>
      <c r="B757" t="s">
        <v>1323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25">
      <c r="A758">
        <v>757</v>
      </c>
      <c r="B758" t="s">
        <v>1356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25">
      <c r="A759">
        <v>758</v>
      </c>
      <c r="B759" t="s">
        <v>1357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25">
      <c r="A760">
        <v>759</v>
      </c>
      <c r="B760" t="s">
        <v>1358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25">
      <c r="A761">
        <v>760</v>
      </c>
      <c r="B761" t="s">
        <v>1237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25">
      <c r="A762">
        <v>761</v>
      </c>
      <c r="B762" t="s">
        <v>1192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25">
      <c r="A763">
        <v>762</v>
      </c>
      <c r="B763" t="s">
        <v>1192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25">
      <c r="A764">
        <v>763</v>
      </c>
      <c r="B764" t="s">
        <v>1159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25">
      <c r="A765">
        <v>764</v>
      </c>
      <c r="B765" t="s">
        <v>1103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25">
      <c r="A766">
        <v>765</v>
      </c>
      <c r="B766" t="s">
        <v>1196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25">
      <c r="A767">
        <v>766</v>
      </c>
      <c r="B767" t="s">
        <v>1229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25">
      <c r="A768">
        <v>767</v>
      </c>
      <c r="B768" t="s">
        <v>1245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25">
      <c r="A769">
        <v>768</v>
      </c>
      <c r="B769" t="s">
        <v>1057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25">
      <c r="A770">
        <v>769</v>
      </c>
      <c r="B770" t="s">
        <v>1196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25">
      <c r="A771">
        <v>770</v>
      </c>
      <c r="B771" t="s">
        <v>1330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25">
      <c r="A772">
        <v>771</v>
      </c>
      <c r="B772" t="s">
        <v>1045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25">
      <c r="A773">
        <v>772</v>
      </c>
      <c r="B773" t="s">
        <v>1359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25">
      <c r="A774">
        <v>773</v>
      </c>
      <c r="B774" t="s">
        <v>1360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25">
      <c r="A775">
        <v>774</v>
      </c>
      <c r="B775" t="s">
        <v>1059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25">
      <c r="A776">
        <v>775</v>
      </c>
      <c r="B776" t="s">
        <v>1232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25">
      <c r="A777">
        <v>776</v>
      </c>
      <c r="B777" t="s">
        <v>1352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25">
      <c r="A778">
        <v>777</v>
      </c>
      <c r="B778" t="s">
        <v>1193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25">
      <c r="A779">
        <v>778</v>
      </c>
      <c r="B779" t="s">
        <v>1088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25">
      <c r="A780">
        <v>779</v>
      </c>
      <c r="B780" t="s">
        <v>1216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25">
      <c r="A781">
        <v>780</v>
      </c>
      <c r="B781" t="s">
        <v>1044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25">
      <c r="A782">
        <v>781</v>
      </c>
      <c r="B782" t="s">
        <v>1241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25">
      <c r="A783">
        <v>782</v>
      </c>
      <c r="B783" t="s">
        <v>1271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25">
      <c r="A784">
        <v>783</v>
      </c>
      <c r="B784" t="s">
        <v>1119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25">
      <c r="A785">
        <v>784</v>
      </c>
      <c r="B785" t="s">
        <v>1361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25">
      <c r="A786">
        <v>785</v>
      </c>
      <c r="B786" t="s">
        <v>1200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25">
      <c r="A787">
        <v>786</v>
      </c>
      <c r="B787" t="s">
        <v>1259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25">
      <c r="A788">
        <v>787</v>
      </c>
      <c r="B788" t="s">
        <v>1293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25">
      <c r="A789">
        <v>788</v>
      </c>
      <c r="B789" t="s">
        <v>1362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25">
      <c r="A790">
        <v>789</v>
      </c>
      <c r="B790" t="s">
        <v>1185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25">
      <c r="A791">
        <v>790</v>
      </c>
      <c r="B791" t="s">
        <v>1139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25">
      <c r="A792">
        <v>791</v>
      </c>
      <c r="B792" t="s">
        <v>1096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25">
      <c r="A793">
        <v>792</v>
      </c>
      <c r="B793" t="s">
        <v>1104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25">
      <c r="A794">
        <v>793</v>
      </c>
      <c r="B794" t="s">
        <v>1094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25">
      <c r="A795">
        <v>794</v>
      </c>
      <c r="B795" t="s">
        <v>1166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25">
      <c r="A796">
        <v>795</v>
      </c>
      <c r="B796" t="s">
        <v>1110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25">
      <c r="A797">
        <v>796</v>
      </c>
      <c r="B797" t="s">
        <v>1070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25">
      <c r="A798">
        <v>797</v>
      </c>
      <c r="B798" t="s">
        <v>1363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25">
      <c r="A799">
        <v>798</v>
      </c>
      <c r="B799" t="s">
        <v>1316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25">
      <c r="A800">
        <v>799</v>
      </c>
      <c r="B800" t="s">
        <v>1177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25">
      <c r="A801">
        <v>800</v>
      </c>
      <c r="B801" t="s">
        <v>1167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25">
      <c r="A802">
        <v>801</v>
      </c>
      <c r="B802" t="s">
        <v>1364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25">
      <c r="A803">
        <v>802</v>
      </c>
      <c r="B803" t="s">
        <v>1090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25">
      <c r="A804">
        <v>803</v>
      </c>
      <c r="B804" t="s">
        <v>1101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25">
      <c r="A805">
        <v>804</v>
      </c>
      <c r="B805" t="s">
        <v>1081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25">
      <c r="A806">
        <v>805</v>
      </c>
      <c r="B806" t="s">
        <v>1204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25">
      <c r="A807">
        <v>806</v>
      </c>
      <c r="B807" t="s">
        <v>1148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25">
      <c r="A808">
        <v>807</v>
      </c>
      <c r="B808" t="s">
        <v>1161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25">
      <c r="A809">
        <v>808</v>
      </c>
      <c r="B809" t="s">
        <v>1295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25">
      <c r="A810">
        <v>809</v>
      </c>
      <c r="B810" t="s">
        <v>1260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25">
      <c r="A811">
        <v>810</v>
      </c>
      <c r="B811" t="s">
        <v>1235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25">
      <c r="A812">
        <v>811</v>
      </c>
      <c r="B812" t="s">
        <v>1116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25">
      <c r="A813">
        <v>812</v>
      </c>
      <c r="B813" t="s">
        <v>1318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25">
      <c r="A814">
        <v>813</v>
      </c>
      <c r="B814" t="s">
        <v>1136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25">
      <c r="A815">
        <v>814</v>
      </c>
      <c r="B815" t="s">
        <v>1365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25">
      <c r="A816">
        <v>815</v>
      </c>
      <c r="B816" t="s">
        <v>1323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25">
      <c r="A817">
        <v>816</v>
      </c>
      <c r="B817" t="s">
        <v>1306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25">
      <c r="A818">
        <v>817</v>
      </c>
      <c r="B818" t="s">
        <v>1352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25">
      <c r="A819">
        <v>818</v>
      </c>
      <c r="B819" t="s">
        <v>1125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25">
      <c r="A820">
        <v>819</v>
      </c>
      <c r="B820" t="s">
        <v>1176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25">
      <c r="A821">
        <v>820</v>
      </c>
      <c r="B821" t="s">
        <v>1041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25">
      <c r="A822">
        <v>821</v>
      </c>
      <c r="B822" t="s">
        <v>1047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25">
      <c r="A823">
        <v>822</v>
      </c>
      <c r="B823" t="s">
        <v>1066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25">
      <c r="A824">
        <v>823</v>
      </c>
      <c r="B824" t="s">
        <v>1341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25">
      <c r="A825">
        <v>824</v>
      </c>
      <c r="B825" t="s">
        <v>1216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25">
      <c r="A826">
        <v>825</v>
      </c>
      <c r="B826" t="s">
        <v>1337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25">
      <c r="A827">
        <v>826</v>
      </c>
      <c r="B827" t="s">
        <v>1255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25">
      <c r="A828">
        <v>827</v>
      </c>
      <c r="B828" t="s">
        <v>1326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25">
      <c r="A829">
        <v>828</v>
      </c>
      <c r="B829" t="s">
        <v>1211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25">
      <c r="A830">
        <v>829</v>
      </c>
      <c r="B830" t="s">
        <v>1074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25">
      <c r="A831">
        <v>830</v>
      </c>
      <c r="B831" t="s">
        <v>1073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25">
      <c r="A832">
        <v>831</v>
      </c>
      <c r="B832" t="s">
        <v>1304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25">
      <c r="A833">
        <v>832</v>
      </c>
      <c r="B833" t="s">
        <v>1333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25">
      <c r="A834">
        <v>833</v>
      </c>
      <c r="B834" t="s">
        <v>1120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25">
      <c r="A835">
        <v>834</v>
      </c>
      <c r="B835" t="s">
        <v>1231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25">
      <c r="A836">
        <v>835</v>
      </c>
      <c r="B836" t="s">
        <v>1243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25">
      <c r="A837">
        <v>836</v>
      </c>
      <c r="B837" t="s">
        <v>1127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25">
      <c r="A838">
        <v>837</v>
      </c>
      <c r="B838" t="s">
        <v>1105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25">
      <c r="A839">
        <v>838</v>
      </c>
      <c r="B839" t="s">
        <v>1342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25">
      <c r="A840">
        <v>839</v>
      </c>
      <c r="B840" t="s">
        <v>1070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25">
      <c r="A841">
        <v>840</v>
      </c>
      <c r="B841" t="s">
        <v>1366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25">
      <c r="A842">
        <v>841</v>
      </c>
      <c r="B842" t="s">
        <v>1150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25">
      <c r="A843">
        <v>842</v>
      </c>
      <c r="B843" t="s">
        <v>1061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25">
      <c r="A844">
        <v>843</v>
      </c>
      <c r="B844" t="s">
        <v>1284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25">
      <c r="A845">
        <v>844</v>
      </c>
      <c r="B845" t="s">
        <v>1242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25">
      <c r="A846">
        <v>845</v>
      </c>
      <c r="B846" t="s">
        <v>1158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25">
      <c r="A847">
        <v>846</v>
      </c>
      <c r="B847" t="s">
        <v>1198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25">
      <c r="A848">
        <v>847</v>
      </c>
      <c r="B848" t="s">
        <v>1218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25">
      <c r="A849">
        <v>848</v>
      </c>
      <c r="B849" t="s">
        <v>1183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25">
      <c r="A850">
        <v>849</v>
      </c>
      <c r="B850" t="s">
        <v>1182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25">
      <c r="A851">
        <v>850</v>
      </c>
      <c r="B851" t="s">
        <v>1217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25">
      <c r="A852">
        <v>851</v>
      </c>
      <c r="B852" t="s">
        <v>1177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25">
      <c r="A853">
        <v>852</v>
      </c>
      <c r="B853" t="s">
        <v>1242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25">
      <c r="A854">
        <v>853</v>
      </c>
      <c r="B854" t="s">
        <v>1182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25">
      <c r="A855">
        <v>854</v>
      </c>
      <c r="B855" t="s">
        <v>1193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25">
      <c r="A856">
        <v>855</v>
      </c>
      <c r="B856" t="s">
        <v>1189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25">
      <c r="A857">
        <v>856</v>
      </c>
      <c r="B857" t="s">
        <v>1225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25">
      <c r="A858">
        <v>857</v>
      </c>
      <c r="B858" t="s">
        <v>1367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25">
      <c r="A859">
        <v>858</v>
      </c>
      <c r="B859" t="s">
        <v>1368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25">
      <c r="A860">
        <v>859</v>
      </c>
      <c r="B860" t="s">
        <v>1064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25">
      <c r="A861">
        <v>860</v>
      </c>
      <c r="B861" t="s">
        <v>1369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25">
      <c r="A862">
        <v>861</v>
      </c>
      <c r="B862" t="s">
        <v>1052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25">
      <c r="A863">
        <v>862</v>
      </c>
      <c r="B863" t="s">
        <v>1087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25">
      <c r="A864">
        <v>863</v>
      </c>
      <c r="B864" t="s">
        <v>1299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25">
      <c r="A865">
        <v>864</v>
      </c>
      <c r="B865" t="s">
        <v>1319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25">
      <c r="A866">
        <v>865</v>
      </c>
      <c r="B866" t="s">
        <v>1370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25">
      <c r="A867">
        <v>866</v>
      </c>
      <c r="B867" t="s">
        <v>1216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25">
      <c r="A868">
        <v>867</v>
      </c>
      <c r="B868" t="s">
        <v>1301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25">
      <c r="A869">
        <v>868</v>
      </c>
      <c r="B869" t="s">
        <v>1274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25">
      <c r="A870">
        <v>869</v>
      </c>
      <c r="B870" t="s">
        <v>1305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25">
      <c r="A871">
        <v>870</v>
      </c>
      <c r="B871" t="s">
        <v>1358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25">
      <c r="A872">
        <v>871</v>
      </c>
      <c r="B872" t="s">
        <v>1215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25">
      <c r="A873">
        <v>872</v>
      </c>
      <c r="B873" t="s">
        <v>1157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25">
      <c r="A874">
        <v>873</v>
      </c>
      <c r="B874" t="s">
        <v>1173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25">
      <c r="A875">
        <v>874</v>
      </c>
      <c r="B875" t="s">
        <v>1077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25">
      <c r="A876">
        <v>875</v>
      </c>
      <c r="B876" t="s">
        <v>1335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25">
      <c r="A877">
        <v>876</v>
      </c>
      <c r="B877" t="s">
        <v>1190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25">
      <c r="A878">
        <v>877</v>
      </c>
      <c r="B878" t="s">
        <v>1208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25">
      <c r="A879">
        <v>878</v>
      </c>
      <c r="B879" t="s">
        <v>1350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25">
      <c r="A880">
        <v>879</v>
      </c>
      <c r="B880" t="s">
        <v>1061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25">
      <c r="A881">
        <v>880</v>
      </c>
      <c r="B881" t="s">
        <v>1100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25">
      <c r="A882">
        <v>881</v>
      </c>
      <c r="B882" t="s">
        <v>1116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25">
      <c r="A883">
        <v>882</v>
      </c>
      <c r="B883" t="s">
        <v>1301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25">
      <c r="A884">
        <v>883</v>
      </c>
      <c r="B884" t="s">
        <v>1156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25">
      <c r="A885">
        <v>884</v>
      </c>
      <c r="B885" t="s">
        <v>1347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25">
      <c r="A886">
        <v>885</v>
      </c>
      <c r="B886" t="s">
        <v>1200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25">
      <c r="A887">
        <v>886</v>
      </c>
      <c r="B887" t="s">
        <v>1092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25">
      <c r="A888">
        <v>887</v>
      </c>
      <c r="B888" t="s">
        <v>1123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25">
      <c r="A889">
        <v>888</v>
      </c>
      <c r="B889" t="s">
        <v>1200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25">
      <c r="A890">
        <v>889</v>
      </c>
      <c r="B890" t="s">
        <v>1082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25">
      <c r="A891">
        <v>890</v>
      </c>
      <c r="B891" t="s">
        <v>1193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25">
      <c r="A892">
        <v>891</v>
      </c>
      <c r="B892" t="s">
        <v>1371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25">
      <c r="A893">
        <v>892</v>
      </c>
      <c r="B893" t="s">
        <v>1092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25">
      <c r="A894">
        <v>893</v>
      </c>
      <c r="B894" t="s">
        <v>1072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25">
      <c r="A895">
        <v>894</v>
      </c>
      <c r="B895" t="s">
        <v>1365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25">
      <c r="A896">
        <v>895</v>
      </c>
      <c r="B896" t="s">
        <v>1284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25">
      <c r="A897">
        <v>896</v>
      </c>
      <c r="B897" t="s">
        <v>1065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25">
      <c r="A898">
        <v>897</v>
      </c>
      <c r="B898" t="s">
        <v>1372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25">
      <c r="A899">
        <v>898</v>
      </c>
      <c r="B899" t="s">
        <v>1150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25">
      <c r="A900">
        <v>899</v>
      </c>
      <c r="B900" t="s">
        <v>1279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25">
      <c r="A901">
        <v>900</v>
      </c>
      <c r="B901" t="s">
        <v>1099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25">
      <c r="A902">
        <v>901</v>
      </c>
      <c r="B902" t="s">
        <v>1331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25">
      <c r="A903">
        <v>902</v>
      </c>
      <c r="B903" t="s">
        <v>1244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25">
      <c r="A904">
        <v>903</v>
      </c>
      <c r="B904" t="s">
        <v>1097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25">
      <c r="A905">
        <v>904</v>
      </c>
      <c r="B905" t="s">
        <v>1373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25">
      <c r="A906">
        <v>905</v>
      </c>
      <c r="B906" t="s">
        <v>1165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25">
      <c r="A907">
        <v>906</v>
      </c>
      <c r="B907" t="s">
        <v>1271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25">
      <c r="A908">
        <v>907</v>
      </c>
      <c r="B908" t="s">
        <v>1236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25">
      <c r="A909">
        <v>908</v>
      </c>
      <c r="B909" t="s">
        <v>1204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25">
      <c r="A910">
        <v>909</v>
      </c>
      <c r="B910" t="s">
        <v>1114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25">
      <c r="A911">
        <v>910</v>
      </c>
      <c r="B911" t="s">
        <v>1186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25">
      <c r="A912">
        <v>911</v>
      </c>
      <c r="B912" t="s">
        <v>1040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25">
      <c r="A913">
        <v>912</v>
      </c>
      <c r="B913" t="s">
        <v>1095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25">
      <c r="A914">
        <v>913</v>
      </c>
      <c r="B914" t="s">
        <v>1222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25">
      <c r="A915">
        <v>914</v>
      </c>
      <c r="B915" t="s">
        <v>1157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25">
      <c r="A916">
        <v>915</v>
      </c>
      <c r="B916" t="s">
        <v>1374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25">
      <c r="A917">
        <v>916</v>
      </c>
      <c r="B917" t="s">
        <v>1069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25">
      <c r="A918">
        <v>917</v>
      </c>
      <c r="B918" t="s">
        <v>1186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25">
      <c r="A919">
        <v>918</v>
      </c>
      <c r="B919" t="s">
        <v>1287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25">
      <c r="A920">
        <v>919</v>
      </c>
      <c r="B920" t="s">
        <v>1368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25">
      <c r="A921">
        <v>920</v>
      </c>
      <c r="B921" t="s">
        <v>1044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25">
      <c r="A922">
        <v>921</v>
      </c>
      <c r="B922" t="s">
        <v>1363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25">
      <c r="A923">
        <v>922</v>
      </c>
      <c r="B923" t="s">
        <v>1375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25">
      <c r="A924">
        <v>923</v>
      </c>
      <c r="B924" t="s">
        <v>1269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25">
      <c r="A925">
        <v>924</v>
      </c>
      <c r="B925" t="s">
        <v>1298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25">
      <c r="A926">
        <v>925</v>
      </c>
      <c r="B926" t="s">
        <v>1376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25">
      <c r="A927">
        <v>926</v>
      </c>
      <c r="B927" t="s">
        <v>1343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25">
      <c r="A928">
        <v>927</v>
      </c>
      <c r="B928" t="s">
        <v>1070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25">
      <c r="A929">
        <v>928</v>
      </c>
      <c r="B929" t="s">
        <v>1371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25">
      <c r="A930">
        <v>929</v>
      </c>
      <c r="B930" t="s">
        <v>1283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25">
      <c r="A931">
        <v>930</v>
      </c>
      <c r="B931" t="s">
        <v>1355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25">
      <c r="A932">
        <v>931</v>
      </c>
      <c r="B932" t="s">
        <v>1248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25">
      <c r="A933">
        <v>932</v>
      </c>
      <c r="B933" t="s">
        <v>1159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25">
      <c r="A934">
        <v>933</v>
      </c>
      <c r="B934" t="s">
        <v>1126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25">
      <c r="A935">
        <v>934</v>
      </c>
      <c r="B935" t="s">
        <v>1124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25">
      <c r="A936">
        <v>935</v>
      </c>
      <c r="B936" t="s">
        <v>1368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25">
      <c r="A937">
        <v>936</v>
      </c>
      <c r="B937" t="s">
        <v>1264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25">
      <c r="A938">
        <v>937</v>
      </c>
      <c r="B938" t="s">
        <v>1091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25">
      <c r="A939">
        <v>938</v>
      </c>
      <c r="B939" t="s">
        <v>1329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25">
      <c r="A940">
        <v>939</v>
      </c>
      <c r="B940" t="s">
        <v>1281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25">
      <c r="A941">
        <v>940</v>
      </c>
      <c r="B941" t="s">
        <v>1222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25">
      <c r="A942">
        <v>941</v>
      </c>
      <c r="B942" t="s">
        <v>1346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25">
      <c r="A943">
        <v>942</v>
      </c>
      <c r="B943" t="s">
        <v>1290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25">
      <c r="A944">
        <v>943</v>
      </c>
      <c r="B944" t="s">
        <v>1267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25">
      <c r="A945">
        <v>944</v>
      </c>
      <c r="B945" t="s">
        <v>1321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25">
      <c r="A946">
        <v>945</v>
      </c>
      <c r="B946" t="s">
        <v>1183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25">
      <c r="A947">
        <v>946</v>
      </c>
      <c r="B947" t="s">
        <v>1230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25">
      <c r="A948">
        <v>947</v>
      </c>
      <c r="B948" t="s">
        <v>1377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25">
      <c r="A949">
        <v>948</v>
      </c>
      <c r="B949" t="s">
        <v>1118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25">
      <c r="A950">
        <v>949</v>
      </c>
      <c r="B950" t="s">
        <v>1378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25">
      <c r="A951">
        <v>950</v>
      </c>
      <c r="B951" t="s">
        <v>1192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25">
      <c r="A952">
        <v>951</v>
      </c>
      <c r="B952" t="s">
        <v>1150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25">
      <c r="A953">
        <v>952</v>
      </c>
      <c r="B953" t="s">
        <v>1089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25">
      <c r="A954">
        <v>953</v>
      </c>
      <c r="B954" t="s">
        <v>1201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25">
      <c r="A955">
        <v>954</v>
      </c>
      <c r="B955" t="s">
        <v>1260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25">
      <c r="A956">
        <v>955</v>
      </c>
      <c r="B956" t="s">
        <v>1074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25">
      <c r="A957">
        <v>956</v>
      </c>
      <c r="B957" t="s">
        <v>1341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25">
      <c r="A958">
        <v>957</v>
      </c>
      <c r="B958" t="s">
        <v>1233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25">
      <c r="A959">
        <v>958</v>
      </c>
      <c r="B959" t="s">
        <v>1169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25">
      <c r="A960">
        <v>959</v>
      </c>
      <c r="B960" t="s">
        <v>1065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25">
      <c r="A961">
        <v>960</v>
      </c>
      <c r="B961" t="s">
        <v>1139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25">
      <c r="A962">
        <v>961</v>
      </c>
      <c r="B962" t="s">
        <v>1301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25">
      <c r="A963">
        <v>962</v>
      </c>
      <c r="B963" t="s">
        <v>1255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25">
      <c r="A964">
        <v>963</v>
      </c>
      <c r="B964" t="s">
        <v>1257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25">
      <c r="A965">
        <v>964</v>
      </c>
      <c r="B965" t="s">
        <v>1206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25">
      <c r="A966">
        <v>965</v>
      </c>
      <c r="B966" t="s">
        <v>1326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25">
      <c r="A967">
        <v>966</v>
      </c>
      <c r="B967" t="s">
        <v>1226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25">
      <c r="A968">
        <v>967</v>
      </c>
      <c r="B968" t="s">
        <v>1379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25">
      <c r="A969">
        <v>968</v>
      </c>
      <c r="B969" t="s">
        <v>1168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25">
      <c r="A970">
        <v>969</v>
      </c>
      <c r="B970" t="s">
        <v>1127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25">
      <c r="A971">
        <v>970</v>
      </c>
      <c r="B971" t="s">
        <v>1079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25">
      <c r="A972">
        <v>971</v>
      </c>
      <c r="B972" t="s">
        <v>1096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25">
      <c r="A973">
        <v>972</v>
      </c>
      <c r="B973" t="s">
        <v>1250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25">
      <c r="A974">
        <v>973</v>
      </c>
      <c r="B974" t="s">
        <v>1162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25">
      <c r="A975">
        <v>974</v>
      </c>
      <c r="B975" t="s">
        <v>1180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25">
      <c r="A976">
        <v>975</v>
      </c>
      <c r="B976" t="s">
        <v>1380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25">
      <c r="A977">
        <v>976</v>
      </c>
      <c r="B977" t="s">
        <v>1086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25">
      <c r="A978">
        <v>977</v>
      </c>
      <c r="B978" t="s">
        <v>1232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25">
      <c r="A979">
        <v>978</v>
      </c>
      <c r="B979" t="s">
        <v>1162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25">
      <c r="A980">
        <v>979</v>
      </c>
      <c r="B980" t="s">
        <v>1163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25">
      <c r="A981">
        <v>980</v>
      </c>
      <c r="B981" t="s">
        <v>1314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25">
      <c r="A982">
        <v>981</v>
      </c>
      <c r="B982" t="s">
        <v>1341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25">
      <c r="A983">
        <v>982</v>
      </c>
      <c r="B983" t="s">
        <v>1117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25">
      <c r="A984">
        <v>983</v>
      </c>
      <c r="B984" t="s">
        <v>1252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25">
      <c r="A985">
        <v>984</v>
      </c>
      <c r="B985" t="s">
        <v>1298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25">
      <c r="A986">
        <v>985</v>
      </c>
      <c r="B986" t="s">
        <v>1374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25">
      <c r="A987">
        <v>986</v>
      </c>
      <c r="B987" t="s">
        <v>1050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25">
      <c r="A988">
        <v>987</v>
      </c>
      <c r="B988" t="s">
        <v>1347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25">
      <c r="A989">
        <v>988</v>
      </c>
      <c r="B989" t="s">
        <v>1381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25">
      <c r="A990">
        <v>989</v>
      </c>
      <c r="B990" t="s">
        <v>1288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25">
      <c r="A991">
        <v>990</v>
      </c>
      <c r="B991" t="s">
        <v>1279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25">
      <c r="A992">
        <v>991</v>
      </c>
      <c r="B992" t="s">
        <v>1061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25">
      <c r="A993">
        <v>992</v>
      </c>
      <c r="B993" t="s">
        <v>1100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25">
      <c r="A994">
        <v>993</v>
      </c>
      <c r="B994" t="s">
        <v>1111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25">
      <c r="A995">
        <v>994</v>
      </c>
      <c r="B995" t="s">
        <v>1281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25">
      <c r="A996">
        <v>995</v>
      </c>
      <c r="B996" t="s">
        <v>1054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25">
      <c r="A997">
        <v>996</v>
      </c>
      <c r="B997" t="s">
        <v>1079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25">
      <c r="A998">
        <v>997</v>
      </c>
      <c r="B998" t="s">
        <v>1168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25">
      <c r="A999">
        <v>998</v>
      </c>
      <c r="B999" t="s">
        <v>1065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25">
      <c r="A1000">
        <v>999</v>
      </c>
      <c r="B1000" t="s">
        <v>1096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25">
      <c r="A1001">
        <v>1000</v>
      </c>
      <c r="B1001" t="s">
        <v>1059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tabSelected="1" workbookViewId="0">
      <selection activeCell="D15" sqref="D15"/>
    </sheetView>
  </sheetViews>
  <sheetFormatPr defaultRowHeight="15" x14ac:dyDescent="0.25"/>
  <cols>
    <col min="1" max="1" width="13.140625" bestFit="1" customWidth="1"/>
    <col min="2" max="2" width="19.85546875" bestFit="1" customWidth="1"/>
    <col min="4" max="4" width="21.5703125" bestFit="1" customWidth="1"/>
    <col min="5" max="5" width="8" bestFit="1" customWidth="1"/>
  </cols>
  <sheetData>
    <row r="1" spans="1:5" x14ac:dyDescent="0.25">
      <c r="A1" s="1" t="s">
        <v>1020</v>
      </c>
      <c r="B1" t="s">
        <v>1036</v>
      </c>
      <c r="D1" s="5" t="s">
        <v>1385</v>
      </c>
      <c r="E1" s="5" t="s">
        <v>1015</v>
      </c>
    </row>
    <row r="2" spans="1:5" x14ac:dyDescent="0.25">
      <c r="A2" s="2" t="s">
        <v>1022</v>
      </c>
      <c r="B2" s="3">
        <v>454470</v>
      </c>
      <c r="D2" t="s">
        <v>1382</v>
      </c>
      <c r="E2">
        <f>AVERAGE(B3:B14)</f>
        <v>37872.5</v>
      </c>
    </row>
    <row r="3" spans="1:5" x14ac:dyDescent="0.25">
      <c r="A3" s="4" t="s">
        <v>1023</v>
      </c>
      <c r="B3" s="3">
        <v>35450</v>
      </c>
      <c r="D3" t="s">
        <v>1383</v>
      </c>
      <c r="E3">
        <f>MAX(B3:B14)</f>
        <v>53150</v>
      </c>
    </row>
    <row r="4" spans="1:5" x14ac:dyDescent="0.25">
      <c r="A4" s="4" t="s">
        <v>1024</v>
      </c>
      <c r="B4" s="3">
        <v>44060</v>
      </c>
      <c r="D4" t="s">
        <v>1384</v>
      </c>
      <c r="E4">
        <f>MIN(B3:B14)</f>
        <v>23620</v>
      </c>
    </row>
    <row r="5" spans="1:5" x14ac:dyDescent="0.25">
      <c r="A5" s="4" t="s">
        <v>1025</v>
      </c>
      <c r="B5" s="3">
        <v>28990</v>
      </c>
    </row>
    <row r="6" spans="1:5" x14ac:dyDescent="0.25">
      <c r="A6" s="4" t="s">
        <v>1026</v>
      </c>
      <c r="B6" s="3">
        <v>33870</v>
      </c>
    </row>
    <row r="7" spans="1:5" x14ac:dyDescent="0.25">
      <c r="A7" s="4" t="s">
        <v>1027</v>
      </c>
      <c r="B7" s="3">
        <v>53150</v>
      </c>
    </row>
    <row r="8" spans="1:5" x14ac:dyDescent="0.25">
      <c r="A8" s="4" t="s">
        <v>1028</v>
      </c>
      <c r="B8" s="3">
        <v>36715</v>
      </c>
    </row>
    <row r="9" spans="1:5" x14ac:dyDescent="0.25">
      <c r="A9" s="4" t="s">
        <v>1029</v>
      </c>
      <c r="B9" s="3">
        <v>35465</v>
      </c>
    </row>
    <row r="10" spans="1:5" x14ac:dyDescent="0.25">
      <c r="A10" s="4" t="s">
        <v>1030</v>
      </c>
      <c r="B10" s="3">
        <v>36960</v>
      </c>
    </row>
    <row r="11" spans="1:5" x14ac:dyDescent="0.25">
      <c r="A11" s="4" t="s">
        <v>1031</v>
      </c>
      <c r="B11" s="3">
        <v>23620</v>
      </c>
    </row>
    <row r="12" spans="1:5" x14ac:dyDescent="0.25">
      <c r="A12" s="4" t="s">
        <v>1032</v>
      </c>
      <c r="B12" s="3">
        <v>46580</v>
      </c>
    </row>
    <row r="13" spans="1:5" x14ac:dyDescent="0.25">
      <c r="A13" s="4" t="s">
        <v>1033</v>
      </c>
      <c r="B13" s="3">
        <v>34920</v>
      </c>
    </row>
    <row r="14" spans="1:5" x14ac:dyDescent="0.25">
      <c r="A14" s="4" t="s">
        <v>1034</v>
      </c>
      <c r="B14" s="3">
        <v>44690</v>
      </c>
    </row>
    <row r="15" spans="1:5" x14ac:dyDescent="0.25">
      <c r="A15" s="2" t="s">
        <v>1035</v>
      </c>
      <c r="B15" s="3">
        <v>1530</v>
      </c>
    </row>
    <row r="16" spans="1:5" x14ac:dyDescent="0.25">
      <c r="A16" s="4" t="s">
        <v>1023</v>
      </c>
      <c r="B16" s="3">
        <v>1530</v>
      </c>
    </row>
    <row r="17" spans="1:2" x14ac:dyDescent="0.25">
      <c r="A17" s="2" t="s">
        <v>1021</v>
      </c>
      <c r="B17" s="3">
        <v>456000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sqref="A1:B1"/>
    </sheetView>
  </sheetViews>
  <sheetFormatPr defaultRowHeight="15" x14ac:dyDescent="0.25"/>
  <cols>
    <col min="1" max="1" width="18.140625" bestFit="1" customWidth="1"/>
  </cols>
  <sheetData>
    <row r="1" spans="1:2" x14ac:dyDescent="0.25">
      <c r="A1" s="5" t="s">
        <v>1014</v>
      </c>
      <c r="B1" s="5" t="s">
        <v>1015</v>
      </c>
    </row>
    <row r="2" spans="1:2" x14ac:dyDescent="0.25">
      <c r="A2" t="s">
        <v>1016</v>
      </c>
      <c r="B2">
        <f>AVERAGE(retail_sales_dataset!I:I)</f>
        <v>456</v>
      </c>
    </row>
    <row r="3" spans="1:2" x14ac:dyDescent="0.25">
      <c r="A3" t="s">
        <v>1017</v>
      </c>
      <c r="B3">
        <f>MEDIAN(retail_sales_dataset!I:I)</f>
        <v>135</v>
      </c>
    </row>
    <row r="4" spans="1:2" x14ac:dyDescent="0.25">
      <c r="A4" t="s">
        <v>1018</v>
      </c>
      <c r="B4">
        <f>_xlfn.MODE.SNGL(retail_sales_dataset!I:I)</f>
        <v>50</v>
      </c>
    </row>
    <row r="5" spans="1:2" x14ac:dyDescent="0.25">
      <c r="A5" t="s">
        <v>1019</v>
      </c>
      <c r="B5">
        <f>_xlfn.STDEV.P(retail_sales_dataset!I:I)</f>
        <v>559.71756270461981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retail_sales_dataset</vt:lpstr>
      <vt:lpstr>retail_sales_dataset(AutoRecove</vt:lpstr>
      <vt:lpstr>Descriptive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Akshata Gurnale</dc:creator>
  <cp:lastModifiedBy>HP</cp:lastModifiedBy>
  <dcterms:created xsi:type="dcterms:W3CDTF">2025-12-27T04:46:05Z</dcterms:created>
  <dcterms:modified xsi:type="dcterms:W3CDTF">2025-12-27T04:49:30Z</dcterms:modified>
</cp:coreProperties>
</file>